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ah\Desktop\Projects\Laravel\Gesteion_tresorerie\public\assets\excel\"/>
    </mc:Choice>
  </mc:AlternateContent>
  <xr:revisionPtr revIDLastSave="0" documentId="13_ncr:1_{3CC8BF13-0CB3-4904-BEBB-F0126316E77E}" xr6:coauthVersionLast="47" xr6:coauthVersionMax="47" xr10:uidLastSave="{00000000-0000-0000-0000-000000000000}"/>
  <bookViews>
    <workbookView xWindow="-120" yWindow="-120" windowWidth="29040" windowHeight="15720" activeTab="1" xr2:uid="{3F6A7A5B-EA6D-40EF-8400-0D617359E206}"/>
  </bookViews>
  <sheets>
    <sheet name="Prévisions Dépenses-Décaiss" sheetId="2" r:id="rId1"/>
    <sheet name="Prévisions Entrées-Encaiss" sheetId="3" r:id="rId2"/>
    <sheet name="Flux de trésorerie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4" l="1"/>
  <c r="D24" i="4"/>
  <c r="E24" i="4"/>
  <c r="F24" i="4"/>
  <c r="G24" i="4"/>
  <c r="H24" i="4"/>
  <c r="I24" i="4"/>
  <c r="J24" i="4"/>
  <c r="K24" i="4"/>
  <c r="L24" i="4"/>
  <c r="M24" i="4"/>
  <c r="N24" i="4"/>
  <c r="D37" i="4"/>
  <c r="E37" i="4"/>
  <c r="F37" i="4"/>
  <c r="G37" i="4"/>
  <c r="H37" i="4"/>
  <c r="I37" i="4"/>
  <c r="J37" i="4"/>
  <c r="K37" i="4"/>
  <c r="L37" i="4"/>
  <c r="M37" i="4"/>
  <c r="N37" i="4"/>
  <c r="C37" i="4"/>
  <c r="S151" i="4" l="1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R140" i="4"/>
  <c r="R150" i="4" s="1"/>
  <c r="R153" i="4" s="1"/>
  <c r="Q140" i="4"/>
  <c r="P140" i="4"/>
  <c r="O140" i="4"/>
  <c r="O150" i="4" s="1"/>
  <c r="O153" i="4" s="1"/>
  <c r="N140" i="4"/>
  <c r="N150" i="4" s="1"/>
  <c r="N153" i="4" s="1"/>
  <c r="M140" i="4"/>
  <c r="L140" i="4"/>
  <c r="K140" i="4"/>
  <c r="K150" i="4" s="1"/>
  <c r="K153" i="4" s="1"/>
  <c r="J140" i="4"/>
  <c r="J150" i="4" s="1"/>
  <c r="J153" i="4" s="1"/>
  <c r="I140" i="4"/>
  <c r="H140" i="4"/>
  <c r="H150" i="4" s="1"/>
  <c r="H153" i="4" s="1"/>
  <c r="G140" i="4"/>
  <c r="G150" i="4" s="1"/>
  <c r="G153" i="4" s="1"/>
  <c r="F140" i="4"/>
  <c r="F150" i="4" s="1"/>
  <c r="F153" i="4" s="1"/>
  <c r="E140" i="4"/>
  <c r="D140" i="4"/>
  <c r="C140" i="4"/>
  <c r="C150" i="4" s="1"/>
  <c r="C153" i="4" s="1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R127" i="4"/>
  <c r="Q127" i="4"/>
  <c r="Q138" i="4" s="1"/>
  <c r="Q152" i="4" s="1"/>
  <c r="P127" i="4"/>
  <c r="P138" i="4" s="1"/>
  <c r="P152" i="4" s="1"/>
  <c r="O127" i="4"/>
  <c r="O138" i="4" s="1"/>
  <c r="O152" i="4" s="1"/>
  <c r="O154" i="4" s="1"/>
  <c r="N127" i="4"/>
  <c r="M127" i="4"/>
  <c r="L127" i="4"/>
  <c r="K127" i="4"/>
  <c r="K138" i="4" s="1"/>
  <c r="K152" i="4" s="1"/>
  <c r="K154" i="4" s="1"/>
  <c r="J127" i="4"/>
  <c r="I127" i="4"/>
  <c r="H127" i="4"/>
  <c r="G127" i="4"/>
  <c r="G138" i="4" s="1"/>
  <c r="G152" i="4" s="1"/>
  <c r="G154" i="4" s="1"/>
  <c r="F127" i="4"/>
  <c r="E127" i="4"/>
  <c r="E138" i="4" s="1"/>
  <c r="E152" i="4" s="1"/>
  <c r="D127" i="4"/>
  <c r="C127" i="4"/>
  <c r="C138" i="4" s="1"/>
  <c r="C152" i="4" s="1"/>
  <c r="C154" i="4" s="1"/>
  <c r="N116" i="4"/>
  <c r="M116" i="4"/>
  <c r="L116" i="4"/>
  <c r="K116" i="4"/>
  <c r="J116" i="4"/>
  <c r="I116" i="4"/>
  <c r="H116" i="4"/>
  <c r="G116" i="4"/>
  <c r="F116" i="4"/>
  <c r="E116" i="4"/>
  <c r="D116" i="4"/>
  <c r="C116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N107" i="4"/>
  <c r="M107" i="4"/>
  <c r="L107" i="4"/>
  <c r="K107" i="4"/>
  <c r="K117" i="4" s="1"/>
  <c r="K120" i="4" s="1"/>
  <c r="J107" i="4"/>
  <c r="I107" i="4"/>
  <c r="H107" i="4"/>
  <c r="H117" i="4" s="1"/>
  <c r="H120" i="4" s="1"/>
  <c r="G107" i="4"/>
  <c r="F107" i="4"/>
  <c r="E107" i="4"/>
  <c r="D107" i="4"/>
  <c r="C107" i="4"/>
  <c r="C117" i="4" s="1"/>
  <c r="C120" i="4" s="1"/>
  <c r="N104" i="4"/>
  <c r="M104" i="4"/>
  <c r="L104" i="4"/>
  <c r="K104" i="4"/>
  <c r="J104" i="4"/>
  <c r="I104" i="4"/>
  <c r="H104" i="4"/>
  <c r="G104" i="4"/>
  <c r="F104" i="4"/>
  <c r="E104" i="4"/>
  <c r="D104" i="4"/>
  <c r="C104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N99" i="4"/>
  <c r="M99" i="4"/>
  <c r="L99" i="4"/>
  <c r="K99" i="4"/>
  <c r="J99" i="4"/>
  <c r="I99" i="4"/>
  <c r="H99" i="4"/>
  <c r="G99" i="4"/>
  <c r="F99" i="4"/>
  <c r="E99" i="4"/>
  <c r="D99" i="4"/>
  <c r="C99" i="4"/>
  <c r="N98" i="4"/>
  <c r="M98" i="4"/>
  <c r="L98" i="4"/>
  <c r="K98" i="4"/>
  <c r="J98" i="4"/>
  <c r="I98" i="4"/>
  <c r="H98" i="4"/>
  <c r="G98" i="4"/>
  <c r="F98" i="4"/>
  <c r="E98" i="4"/>
  <c r="D98" i="4"/>
  <c r="C98" i="4"/>
  <c r="N97" i="4"/>
  <c r="M97" i="4"/>
  <c r="L97" i="4"/>
  <c r="K97" i="4"/>
  <c r="J97" i="4"/>
  <c r="I97" i="4"/>
  <c r="H97" i="4"/>
  <c r="G97" i="4"/>
  <c r="F97" i="4"/>
  <c r="E97" i="4"/>
  <c r="D97" i="4"/>
  <c r="C97" i="4"/>
  <c r="N96" i="4"/>
  <c r="M96" i="4"/>
  <c r="L96" i="4"/>
  <c r="K96" i="4"/>
  <c r="J96" i="4"/>
  <c r="I96" i="4"/>
  <c r="H96" i="4"/>
  <c r="G96" i="4"/>
  <c r="F96" i="4"/>
  <c r="E96" i="4"/>
  <c r="D96" i="4"/>
  <c r="C96" i="4"/>
  <c r="N95" i="4"/>
  <c r="M95" i="4"/>
  <c r="L95" i="4"/>
  <c r="K95" i="4"/>
  <c r="J95" i="4"/>
  <c r="I95" i="4"/>
  <c r="H95" i="4"/>
  <c r="G95" i="4"/>
  <c r="F95" i="4"/>
  <c r="E95" i="4"/>
  <c r="D95" i="4"/>
  <c r="C95" i="4"/>
  <c r="N94" i="4"/>
  <c r="M94" i="4"/>
  <c r="L94" i="4"/>
  <c r="L105" i="4" s="1"/>
  <c r="L119" i="4" s="1"/>
  <c r="K94" i="4"/>
  <c r="J94" i="4"/>
  <c r="J105" i="4" s="1"/>
  <c r="J119" i="4" s="1"/>
  <c r="I94" i="4"/>
  <c r="H94" i="4"/>
  <c r="G94" i="4"/>
  <c r="G105" i="4" s="1"/>
  <c r="G119" i="4" s="1"/>
  <c r="F94" i="4"/>
  <c r="E94" i="4"/>
  <c r="D94" i="4"/>
  <c r="D105" i="4" s="1"/>
  <c r="D119" i="4" s="1"/>
  <c r="C94" i="4"/>
  <c r="N81" i="4"/>
  <c r="M81" i="4"/>
  <c r="L81" i="4"/>
  <c r="K81" i="4"/>
  <c r="J81" i="4"/>
  <c r="I81" i="4"/>
  <c r="H81" i="4"/>
  <c r="G81" i="4"/>
  <c r="F81" i="4"/>
  <c r="E81" i="4"/>
  <c r="D81" i="4"/>
  <c r="C81" i="4"/>
  <c r="N80" i="4"/>
  <c r="M80" i="4"/>
  <c r="L80" i="4"/>
  <c r="K80" i="4"/>
  <c r="J80" i="4"/>
  <c r="I80" i="4"/>
  <c r="H80" i="4"/>
  <c r="G80" i="4"/>
  <c r="F80" i="4"/>
  <c r="E80" i="4"/>
  <c r="D80" i="4"/>
  <c r="C80" i="4"/>
  <c r="N79" i="4"/>
  <c r="M79" i="4"/>
  <c r="L79" i="4"/>
  <c r="K79" i="4"/>
  <c r="J79" i="4"/>
  <c r="I79" i="4"/>
  <c r="H79" i="4"/>
  <c r="G79" i="4"/>
  <c r="F79" i="4"/>
  <c r="E79" i="4"/>
  <c r="D79" i="4"/>
  <c r="C79" i="4"/>
  <c r="N78" i="4"/>
  <c r="M78" i="4"/>
  <c r="L78" i="4"/>
  <c r="K78" i="4"/>
  <c r="J78" i="4"/>
  <c r="I78" i="4"/>
  <c r="H78" i="4"/>
  <c r="G78" i="4"/>
  <c r="F78" i="4"/>
  <c r="E78" i="4"/>
  <c r="D78" i="4"/>
  <c r="C78" i="4"/>
  <c r="N77" i="4"/>
  <c r="M77" i="4"/>
  <c r="L77" i="4"/>
  <c r="K77" i="4"/>
  <c r="J77" i="4"/>
  <c r="I77" i="4"/>
  <c r="H77" i="4"/>
  <c r="G77" i="4"/>
  <c r="F77" i="4"/>
  <c r="E77" i="4"/>
  <c r="D77" i="4"/>
  <c r="C77" i="4"/>
  <c r="N76" i="4"/>
  <c r="M76" i="4"/>
  <c r="L76" i="4"/>
  <c r="K76" i="4"/>
  <c r="J76" i="4"/>
  <c r="I76" i="4"/>
  <c r="H76" i="4"/>
  <c r="G76" i="4"/>
  <c r="F76" i="4"/>
  <c r="E76" i="4"/>
  <c r="D76" i="4"/>
  <c r="C76" i="4"/>
  <c r="N75" i="4"/>
  <c r="M75" i="4"/>
  <c r="L75" i="4"/>
  <c r="K75" i="4"/>
  <c r="J75" i="4"/>
  <c r="I75" i="4"/>
  <c r="H75" i="4"/>
  <c r="G75" i="4"/>
  <c r="F75" i="4"/>
  <c r="E75" i="4"/>
  <c r="D75" i="4"/>
  <c r="C75" i="4"/>
  <c r="N74" i="4"/>
  <c r="M74" i="4"/>
  <c r="L74" i="4"/>
  <c r="K74" i="4"/>
  <c r="J74" i="4"/>
  <c r="I74" i="4"/>
  <c r="H74" i="4"/>
  <c r="G74" i="4"/>
  <c r="F74" i="4"/>
  <c r="E74" i="4"/>
  <c r="D74" i="4"/>
  <c r="C74" i="4"/>
  <c r="N73" i="4"/>
  <c r="M73" i="4"/>
  <c r="L73" i="4"/>
  <c r="K73" i="4"/>
  <c r="J73" i="4"/>
  <c r="I73" i="4"/>
  <c r="H73" i="4"/>
  <c r="G73" i="4"/>
  <c r="F73" i="4"/>
  <c r="E73" i="4"/>
  <c r="D73" i="4"/>
  <c r="C73" i="4"/>
  <c r="N72" i="4"/>
  <c r="N82" i="4" s="1"/>
  <c r="N85" i="4" s="1"/>
  <c r="M72" i="4"/>
  <c r="L72" i="4"/>
  <c r="K72" i="4"/>
  <c r="J72" i="4"/>
  <c r="J82" i="4" s="1"/>
  <c r="J85" i="4" s="1"/>
  <c r="I72" i="4"/>
  <c r="I82" i="4" s="1"/>
  <c r="I85" i="4" s="1"/>
  <c r="H72" i="4"/>
  <c r="H82" i="4" s="1"/>
  <c r="H85" i="4" s="1"/>
  <c r="G72" i="4"/>
  <c r="F72" i="4"/>
  <c r="F82" i="4" s="1"/>
  <c r="F85" i="4" s="1"/>
  <c r="E72" i="4"/>
  <c r="D72" i="4"/>
  <c r="C72" i="4"/>
  <c r="N69" i="4"/>
  <c r="M69" i="4"/>
  <c r="L69" i="4"/>
  <c r="K69" i="4"/>
  <c r="J69" i="4"/>
  <c r="I69" i="4"/>
  <c r="H69" i="4"/>
  <c r="G69" i="4"/>
  <c r="F69" i="4"/>
  <c r="E69" i="4"/>
  <c r="D69" i="4"/>
  <c r="C69" i="4"/>
  <c r="N68" i="4"/>
  <c r="M68" i="4"/>
  <c r="L68" i="4"/>
  <c r="K68" i="4"/>
  <c r="J68" i="4"/>
  <c r="I68" i="4"/>
  <c r="H68" i="4"/>
  <c r="G68" i="4"/>
  <c r="F68" i="4"/>
  <c r="E68" i="4"/>
  <c r="D68" i="4"/>
  <c r="C68" i="4"/>
  <c r="N67" i="4"/>
  <c r="M67" i="4"/>
  <c r="L67" i="4"/>
  <c r="K67" i="4"/>
  <c r="J67" i="4"/>
  <c r="I67" i="4"/>
  <c r="H67" i="4"/>
  <c r="G67" i="4"/>
  <c r="F67" i="4"/>
  <c r="E67" i="4"/>
  <c r="D67" i="4"/>
  <c r="C67" i="4"/>
  <c r="N66" i="4"/>
  <c r="M66" i="4"/>
  <c r="L66" i="4"/>
  <c r="K66" i="4"/>
  <c r="J66" i="4"/>
  <c r="I66" i="4"/>
  <c r="H66" i="4"/>
  <c r="G66" i="4"/>
  <c r="F66" i="4"/>
  <c r="E66" i="4"/>
  <c r="D66" i="4"/>
  <c r="C66" i="4"/>
  <c r="N65" i="4"/>
  <c r="M65" i="4"/>
  <c r="L65" i="4"/>
  <c r="K65" i="4"/>
  <c r="J65" i="4"/>
  <c r="I65" i="4"/>
  <c r="H65" i="4"/>
  <c r="G65" i="4"/>
  <c r="F65" i="4"/>
  <c r="E65" i="4"/>
  <c r="D65" i="4"/>
  <c r="C65" i="4"/>
  <c r="N64" i="4"/>
  <c r="M64" i="4"/>
  <c r="L64" i="4"/>
  <c r="K64" i="4"/>
  <c r="J64" i="4"/>
  <c r="I64" i="4"/>
  <c r="H64" i="4"/>
  <c r="G64" i="4"/>
  <c r="F64" i="4"/>
  <c r="E64" i="4"/>
  <c r="D64" i="4"/>
  <c r="C64" i="4"/>
  <c r="N63" i="4"/>
  <c r="M63" i="4"/>
  <c r="L63" i="4"/>
  <c r="K63" i="4"/>
  <c r="J63" i="4"/>
  <c r="I63" i="4"/>
  <c r="H63" i="4"/>
  <c r="G63" i="4"/>
  <c r="F63" i="4"/>
  <c r="E63" i="4"/>
  <c r="D63" i="4"/>
  <c r="C63" i="4"/>
  <c r="N62" i="4"/>
  <c r="M62" i="4"/>
  <c r="L62" i="4"/>
  <c r="K62" i="4"/>
  <c r="J62" i="4"/>
  <c r="I62" i="4"/>
  <c r="H62" i="4"/>
  <c r="G62" i="4"/>
  <c r="F62" i="4"/>
  <c r="E62" i="4"/>
  <c r="D62" i="4"/>
  <c r="C62" i="4"/>
  <c r="N61" i="4"/>
  <c r="M61" i="4"/>
  <c r="L61" i="4"/>
  <c r="K61" i="4"/>
  <c r="J61" i="4"/>
  <c r="I61" i="4"/>
  <c r="H61" i="4"/>
  <c r="G61" i="4"/>
  <c r="F61" i="4"/>
  <c r="E61" i="4"/>
  <c r="D61" i="4"/>
  <c r="C61" i="4"/>
  <c r="N60" i="4"/>
  <c r="M60" i="4"/>
  <c r="L60" i="4"/>
  <c r="K60" i="4"/>
  <c r="J60" i="4"/>
  <c r="I60" i="4"/>
  <c r="H60" i="4"/>
  <c r="G60" i="4"/>
  <c r="F60" i="4"/>
  <c r="E60" i="4"/>
  <c r="D60" i="4"/>
  <c r="C60" i="4"/>
  <c r="N59" i="4"/>
  <c r="N70" i="4" s="1"/>
  <c r="N84" i="4" s="1"/>
  <c r="N86" i="4" s="1"/>
  <c r="M59" i="4"/>
  <c r="L59" i="4"/>
  <c r="K59" i="4"/>
  <c r="K70" i="4" s="1"/>
  <c r="K84" i="4" s="1"/>
  <c r="J59" i="4"/>
  <c r="J70" i="4" s="1"/>
  <c r="J84" i="4" s="1"/>
  <c r="J86" i="4" s="1"/>
  <c r="I59" i="4"/>
  <c r="H59" i="4"/>
  <c r="H70" i="4" s="1"/>
  <c r="H84" i="4" s="1"/>
  <c r="H86" i="4" s="1"/>
  <c r="G59" i="4"/>
  <c r="G70" i="4" s="1"/>
  <c r="G84" i="4" s="1"/>
  <c r="F59" i="4"/>
  <c r="F70" i="4" s="1"/>
  <c r="F84" i="4" s="1"/>
  <c r="F86" i="4" s="1"/>
  <c r="E59" i="4"/>
  <c r="D59" i="4"/>
  <c r="C59" i="4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N44" i="4"/>
  <c r="M44" i="4"/>
  <c r="L44" i="4"/>
  <c r="K44" i="4"/>
  <c r="J44" i="4"/>
  <c r="I44" i="4"/>
  <c r="H44" i="4"/>
  <c r="G44" i="4"/>
  <c r="F44" i="4"/>
  <c r="E44" i="4"/>
  <c r="D44" i="4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N42" i="4"/>
  <c r="M42" i="4"/>
  <c r="L42" i="4"/>
  <c r="K42" i="4"/>
  <c r="J42" i="4"/>
  <c r="I42" i="4"/>
  <c r="H42" i="4"/>
  <c r="G42" i="4"/>
  <c r="F42" i="4"/>
  <c r="E42" i="4"/>
  <c r="D42" i="4"/>
  <c r="C42" i="4"/>
  <c r="N41" i="4"/>
  <c r="M41" i="4"/>
  <c r="L41" i="4"/>
  <c r="K41" i="4"/>
  <c r="J41" i="4"/>
  <c r="I41" i="4"/>
  <c r="H41" i="4"/>
  <c r="G41" i="4"/>
  <c r="F41" i="4"/>
  <c r="E41" i="4"/>
  <c r="D41" i="4"/>
  <c r="C41" i="4"/>
  <c r="N40" i="4"/>
  <c r="M40" i="4"/>
  <c r="L40" i="4"/>
  <c r="K40" i="4"/>
  <c r="J40" i="4"/>
  <c r="I40" i="4"/>
  <c r="H40" i="4"/>
  <c r="G40" i="4"/>
  <c r="F40" i="4"/>
  <c r="E40" i="4"/>
  <c r="D40" i="4"/>
  <c r="C40" i="4"/>
  <c r="N39" i="4"/>
  <c r="M39" i="4"/>
  <c r="L39" i="4"/>
  <c r="K39" i="4"/>
  <c r="J39" i="4"/>
  <c r="I39" i="4"/>
  <c r="H39" i="4"/>
  <c r="G39" i="4"/>
  <c r="F39" i="4"/>
  <c r="E39" i="4"/>
  <c r="D39" i="4"/>
  <c r="C39" i="4"/>
  <c r="N38" i="4"/>
  <c r="M38" i="4"/>
  <c r="L38" i="4"/>
  <c r="L47" i="4" s="1"/>
  <c r="L50" i="4" s="1"/>
  <c r="K38" i="4"/>
  <c r="J38" i="4"/>
  <c r="I38" i="4"/>
  <c r="H38" i="4"/>
  <c r="H47" i="4" s="1"/>
  <c r="H50" i="4" s="1"/>
  <c r="G38" i="4"/>
  <c r="F38" i="4"/>
  <c r="E38" i="4"/>
  <c r="D38" i="4"/>
  <c r="D47" i="4" s="1"/>
  <c r="D50" i="4" s="1"/>
  <c r="C38" i="4"/>
  <c r="N47" i="4"/>
  <c r="N50" i="4" s="1"/>
  <c r="K47" i="4"/>
  <c r="K50" i="4" s="1"/>
  <c r="F47" i="4"/>
  <c r="F50" i="4" s="1"/>
  <c r="C47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6" i="4"/>
  <c r="M26" i="4"/>
  <c r="L26" i="4"/>
  <c r="K26" i="4"/>
  <c r="J26" i="4"/>
  <c r="I26" i="4"/>
  <c r="H26" i="4"/>
  <c r="G26" i="4"/>
  <c r="F26" i="4"/>
  <c r="E26" i="4"/>
  <c r="D26" i="4"/>
  <c r="C26" i="4"/>
  <c r="N25" i="4"/>
  <c r="M25" i="4"/>
  <c r="L25" i="4"/>
  <c r="L35" i="4" s="1"/>
  <c r="L49" i="4" s="1"/>
  <c r="K25" i="4"/>
  <c r="K35" i="4" s="1"/>
  <c r="K49" i="4" s="1"/>
  <c r="J25" i="4"/>
  <c r="I25" i="4"/>
  <c r="H25" i="4"/>
  <c r="G25" i="4"/>
  <c r="F25" i="4"/>
  <c r="E25" i="4"/>
  <c r="D25" i="4"/>
  <c r="D35" i="4" s="1"/>
  <c r="D49" i="4" s="1"/>
  <c r="C25" i="4"/>
  <c r="N35" i="4"/>
  <c r="N49" i="4" s="1"/>
  <c r="I35" i="4"/>
  <c r="I49" i="4" s="1"/>
  <c r="H35" i="4"/>
  <c r="H49" i="4" s="1"/>
  <c r="F35" i="4"/>
  <c r="F49" i="4" s="1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S86" i="3"/>
  <c r="S85" i="3"/>
  <c r="S84" i="3"/>
  <c r="S83" i="3"/>
  <c r="S82" i="3"/>
  <c r="S81" i="3"/>
  <c r="S80" i="3"/>
  <c r="S79" i="3"/>
  <c r="S78" i="3"/>
  <c r="S77" i="3"/>
  <c r="S76" i="3"/>
  <c r="N70" i="3"/>
  <c r="M70" i="3"/>
  <c r="L70" i="3"/>
  <c r="K70" i="3"/>
  <c r="J70" i="3"/>
  <c r="I70" i="3"/>
  <c r="H70" i="3"/>
  <c r="G70" i="3"/>
  <c r="F70" i="3"/>
  <c r="E70" i="3"/>
  <c r="D70" i="3"/>
  <c r="C70" i="3"/>
  <c r="N53" i="3"/>
  <c r="M53" i="3"/>
  <c r="L53" i="3"/>
  <c r="K53" i="3"/>
  <c r="J53" i="3"/>
  <c r="I53" i="3"/>
  <c r="H53" i="3"/>
  <c r="G53" i="3"/>
  <c r="F53" i="3"/>
  <c r="E53" i="3"/>
  <c r="D53" i="3"/>
  <c r="C53" i="3"/>
  <c r="N36" i="3"/>
  <c r="M36" i="3"/>
  <c r="L36" i="3"/>
  <c r="K36" i="3"/>
  <c r="J36" i="3"/>
  <c r="I36" i="3"/>
  <c r="H36" i="3"/>
  <c r="G36" i="3"/>
  <c r="F36" i="3"/>
  <c r="E36" i="3"/>
  <c r="D36" i="3"/>
  <c r="C36" i="3"/>
  <c r="M92" i="2"/>
  <c r="J92" i="2"/>
  <c r="Q91" i="2"/>
  <c r="Q92" i="2" s="1"/>
  <c r="P91" i="2"/>
  <c r="P92" i="2" s="1"/>
  <c r="O91" i="2"/>
  <c r="O92" i="2" s="1"/>
  <c r="N91" i="2"/>
  <c r="N92" i="2" s="1"/>
  <c r="M91" i="2"/>
  <c r="L91" i="2"/>
  <c r="L92" i="2" s="1"/>
  <c r="K91" i="2"/>
  <c r="K92" i="2" s="1"/>
  <c r="J91" i="2"/>
  <c r="I91" i="2"/>
  <c r="I92" i="2" s="1"/>
  <c r="H91" i="2"/>
  <c r="H92" i="2" s="1"/>
  <c r="G91" i="2"/>
  <c r="G92" i="2" s="1"/>
  <c r="F91" i="2"/>
  <c r="F92" i="2" s="1"/>
  <c r="E91" i="2"/>
  <c r="E92" i="2" s="1"/>
  <c r="D91" i="2"/>
  <c r="D92" i="2" s="1"/>
  <c r="C91" i="2"/>
  <c r="C92" i="2" s="1"/>
  <c r="R90" i="2"/>
  <c r="R89" i="2"/>
  <c r="R88" i="2"/>
  <c r="R87" i="2"/>
  <c r="R86" i="2"/>
  <c r="R84" i="2"/>
  <c r="R83" i="2"/>
  <c r="R82" i="2"/>
  <c r="R81" i="2"/>
  <c r="R80" i="2"/>
  <c r="N73" i="2"/>
  <c r="M73" i="2"/>
  <c r="L73" i="2"/>
  <c r="K73" i="2"/>
  <c r="J73" i="2"/>
  <c r="I73" i="2"/>
  <c r="H73" i="2"/>
  <c r="G73" i="2"/>
  <c r="F73" i="2"/>
  <c r="E73" i="2"/>
  <c r="D73" i="2"/>
  <c r="C73" i="2"/>
  <c r="N67" i="2"/>
  <c r="N74" i="2" s="1"/>
  <c r="M67" i="2"/>
  <c r="M74" i="2" s="1"/>
  <c r="L67" i="2"/>
  <c r="K67" i="2"/>
  <c r="K74" i="2" s="1"/>
  <c r="J67" i="2"/>
  <c r="I67" i="2"/>
  <c r="H67" i="2"/>
  <c r="H74" i="2" s="1"/>
  <c r="G67" i="2"/>
  <c r="G74" i="2" s="1"/>
  <c r="F67" i="2"/>
  <c r="F74" i="2" s="1"/>
  <c r="E67" i="2"/>
  <c r="E74" i="2" s="1"/>
  <c r="D67" i="2"/>
  <c r="C67" i="2"/>
  <c r="N55" i="2"/>
  <c r="M55" i="2"/>
  <c r="L55" i="2"/>
  <c r="K55" i="2"/>
  <c r="J55" i="2"/>
  <c r="I55" i="2"/>
  <c r="H55" i="2"/>
  <c r="G55" i="2"/>
  <c r="F55" i="2"/>
  <c r="E55" i="2"/>
  <c r="D55" i="2"/>
  <c r="C55" i="2"/>
  <c r="N49" i="2"/>
  <c r="N56" i="2" s="1"/>
  <c r="M49" i="2"/>
  <c r="M56" i="2" s="1"/>
  <c r="L49" i="2"/>
  <c r="K49" i="2"/>
  <c r="K56" i="2" s="1"/>
  <c r="J49" i="2"/>
  <c r="I49" i="2"/>
  <c r="H49" i="2"/>
  <c r="H56" i="2" s="1"/>
  <c r="G49" i="2"/>
  <c r="G56" i="2" s="1"/>
  <c r="F49" i="2"/>
  <c r="F56" i="2" s="1"/>
  <c r="E49" i="2"/>
  <c r="E56" i="2" s="1"/>
  <c r="D49" i="2"/>
  <c r="C49" i="2"/>
  <c r="C56" i="2" s="1"/>
  <c r="N37" i="2"/>
  <c r="M37" i="2"/>
  <c r="L37" i="2"/>
  <c r="K37" i="2"/>
  <c r="J37" i="2"/>
  <c r="I37" i="2"/>
  <c r="H37" i="2"/>
  <c r="G37" i="2"/>
  <c r="F37" i="2"/>
  <c r="E37" i="2"/>
  <c r="D37" i="2"/>
  <c r="C37" i="2"/>
  <c r="N31" i="2"/>
  <c r="N38" i="2" s="1"/>
  <c r="M31" i="2"/>
  <c r="M38" i="2" s="1"/>
  <c r="L31" i="2"/>
  <c r="K31" i="2"/>
  <c r="K38" i="2" s="1"/>
  <c r="J31" i="2"/>
  <c r="I31" i="2"/>
  <c r="H31" i="2"/>
  <c r="H38" i="2" s="1"/>
  <c r="G31" i="2"/>
  <c r="G38" i="2" s="1"/>
  <c r="F31" i="2"/>
  <c r="F38" i="2" s="1"/>
  <c r="E31" i="2"/>
  <c r="E38" i="2" s="1"/>
  <c r="D31" i="2"/>
  <c r="C31" i="2"/>
  <c r="H51" i="4" l="1"/>
  <c r="K93" i="2"/>
  <c r="L51" i="4"/>
  <c r="E154" i="4"/>
  <c r="R138" i="4"/>
  <c r="R152" i="4" s="1"/>
  <c r="R154" i="4" s="1"/>
  <c r="C74" i="2"/>
  <c r="H138" i="4"/>
  <c r="H152" i="4" s="1"/>
  <c r="H154" i="4" s="1"/>
  <c r="L150" i="4"/>
  <c r="L153" i="4" s="1"/>
  <c r="D51" i="4"/>
  <c r="I138" i="4"/>
  <c r="I152" i="4" s="1"/>
  <c r="J138" i="4"/>
  <c r="J152" i="4" s="1"/>
  <c r="J154" i="4" s="1"/>
  <c r="K105" i="4"/>
  <c r="K119" i="4" s="1"/>
  <c r="K121" i="4" s="1"/>
  <c r="D150" i="4"/>
  <c r="D153" i="4" s="1"/>
  <c r="P150" i="4"/>
  <c r="P153" i="4" s="1"/>
  <c r="P154" i="4" s="1"/>
  <c r="E150" i="4"/>
  <c r="E153" i="4" s="1"/>
  <c r="C105" i="4"/>
  <c r="C119" i="4" s="1"/>
  <c r="C121" i="4" s="1"/>
  <c r="G37" i="3"/>
  <c r="G88" i="3"/>
  <c r="R91" i="2"/>
  <c r="I38" i="2"/>
  <c r="G39" i="2" s="1"/>
  <c r="I56" i="2"/>
  <c r="G57" i="2" s="1"/>
  <c r="I74" i="2"/>
  <c r="G75" i="2" s="1"/>
  <c r="J38" i="2"/>
  <c r="J56" i="2"/>
  <c r="J74" i="2"/>
  <c r="C93" i="2"/>
  <c r="R85" i="2"/>
  <c r="D38" i="2"/>
  <c r="L38" i="2"/>
  <c r="D56" i="2"/>
  <c r="L56" i="2"/>
  <c r="K57" i="2" s="1"/>
  <c r="D74" i="2"/>
  <c r="C75" i="2" s="1"/>
  <c r="L74" i="2"/>
  <c r="K75" i="2" s="1"/>
  <c r="J35" i="4"/>
  <c r="J49" i="4" s="1"/>
  <c r="F117" i="4"/>
  <c r="F120" i="4" s="1"/>
  <c r="N117" i="4"/>
  <c r="N120" i="4" s="1"/>
  <c r="M150" i="4"/>
  <c r="M153" i="4" s="1"/>
  <c r="C82" i="4"/>
  <c r="C85" i="4" s="1"/>
  <c r="K82" i="4"/>
  <c r="K85" i="4" s="1"/>
  <c r="G82" i="4"/>
  <c r="G85" i="4" s="1"/>
  <c r="M138" i="4"/>
  <c r="M152" i="4" s="1"/>
  <c r="M154" i="4" s="1"/>
  <c r="E35" i="4"/>
  <c r="E49" i="4" s="1"/>
  <c r="M35" i="4"/>
  <c r="M49" i="4" s="1"/>
  <c r="M51" i="4" s="1"/>
  <c r="I47" i="4"/>
  <c r="I50" i="4" s="1"/>
  <c r="I51" i="4" s="1"/>
  <c r="E82" i="4"/>
  <c r="E85" i="4" s="1"/>
  <c r="M82" i="4"/>
  <c r="M85" i="4" s="1"/>
  <c r="I117" i="4"/>
  <c r="I120" i="4" s="1"/>
  <c r="S133" i="4"/>
  <c r="S131" i="4"/>
  <c r="I105" i="4"/>
  <c r="I119" i="4" s="1"/>
  <c r="H105" i="4"/>
  <c r="H119" i="4" s="1"/>
  <c r="H121" i="4" s="1"/>
  <c r="F51" i="4"/>
  <c r="G35" i="4"/>
  <c r="G49" i="4" s="1"/>
  <c r="S128" i="4"/>
  <c r="S130" i="4"/>
  <c r="S132" i="4"/>
  <c r="S134" i="4"/>
  <c r="J47" i="4"/>
  <c r="J50" i="4" s="1"/>
  <c r="I70" i="4"/>
  <c r="I84" i="4" s="1"/>
  <c r="I86" i="4" s="1"/>
  <c r="E70" i="4"/>
  <c r="E84" i="4" s="1"/>
  <c r="M70" i="4"/>
  <c r="M84" i="4" s="1"/>
  <c r="D82" i="4"/>
  <c r="D85" i="4" s="1"/>
  <c r="L82" i="4"/>
  <c r="L85" i="4" s="1"/>
  <c r="L86" i="4" s="1"/>
  <c r="G117" i="4"/>
  <c r="G120" i="4" s="1"/>
  <c r="G121" i="4" s="1"/>
  <c r="F138" i="4"/>
  <c r="F152" i="4" s="1"/>
  <c r="F154" i="4" s="1"/>
  <c r="N138" i="4"/>
  <c r="N152" i="4" s="1"/>
  <c r="N154" i="4" s="1"/>
  <c r="S144" i="4"/>
  <c r="S146" i="4"/>
  <c r="E47" i="4"/>
  <c r="E50" i="4" s="1"/>
  <c r="M47" i="4"/>
  <c r="M50" i="4" s="1"/>
  <c r="D70" i="4"/>
  <c r="D84" i="4" s="1"/>
  <c r="L70" i="4"/>
  <c r="L84" i="4" s="1"/>
  <c r="F105" i="4"/>
  <c r="F119" i="4" s="1"/>
  <c r="F121" i="4" s="1"/>
  <c r="N105" i="4"/>
  <c r="N119" i="4" s="1"/>
  <c r="J117" i="4"/>
  <c r="J120" i="4" s="1"/>
  <c r="J121" i="4" s="1"/>
  <c r="I150" i="4"/>
  <c r="I153" i="4" s="1"/>
  <c r="Q150" i="4"/>
  <c r="Q153" i="4" s="1"/>
  <c r="Q154" i="4" s="1"/>
  <c r="S135" i="4"/>
  <c r="S137" i="4"/>
  <c r="S140" i="4"/>
  <c r="S142" i="4"/>
  <c r="S148" i="4"/>
  <c r="G47" i="4"/>
  <c r="G50" i="4" s="1"/>
  <c r="D117" i="4"/>
  <c r="D120" i="4" s="1"/>
  <c r="L117" i="4"/>
  <c r="L120" i="4" s="1"/>
  <c r="C70" i="4"/>
  <c r="C84" i="4" s="1"/>
  <c r="C86" i="4" s="1"/>
  <c r="I121" i="4"/>
  <c r="E105" i="4"/>
  <c r="E119" i="4" s="1"/>
  <c r="M105" i="4"/>
  <c r="M119" i="4" s="1"/>
  <c r="E117" i="4"/>
  <c r="E120" i="4" s="1"/>
  <c r="M117" i="4"/>
  <c r="M120" i="4" s="1"/>
  <c r="D138" i="4"/>
  <c r="D152" i="4" s="1"/>
  <c r="D154" i="4" s="1"/>
  <c r="L138" i="4"/>
  <c r="L152" i="4" s="1"/>
  <c r="C71" i="3"/>
  <c r="O88" i="3"/>
  <c r="K54" i="3"/>
  <c r="S87" i="3"/>
  <c r="G71" i="3"/>
  <c r="C54" i="3"/>
  <c r="C37" i="3"/>
  <c r="K37" i="3"/>
  <c r="G54" i="3"/>
  <c r="K71" i="3"/>
  <c r="C88" i="3"/>
  <c r="K88" i="3"/>
  <c r="D121" i="4"/>
  <c r="L121" i="4"/>
  <c r="S127" i="4"/>
  <c r="S129" i="4"/>
  <c r="S141" i="4"/>
  <c r="S143" i="4"/>
  <c r="S145" i="4"/>
  <c r="S147" i="4"/>
  <c r="S149" i="4"/>
  <c r="C50" i="4"/>
  <c r="N121" i="4"/>
  <c r="K51" i="4"/>
  <c r="G86" i="4"/>
  <c r="N51" i="4"/>
  <c r="K86" i="4"/>
  <c r="C35" i="4"/>
  <c r="S136" i="4"/>
  <c r="S88" i="3"/>
  <c r="G93" i="2"/>
  <c r="C57" i="2"/>
  <c r="K39" i="2"/>
  <c r="C38" i="2"/>
  <c r="C39" i="2" s="1"/>
  <c r="E121" i="4" l="1"/>
  <c r="I154" i="4"/>
  <c r="M86" i="4"/>
  <c r="E86" i="4"/>
  <c r="L154" i="4"/>
  <c r="D86" i="4"/>
  <c r="J51" i="4"/>
  <c r="E51" i="4"/>
  <c r="R93" i="2"/>
  <c r="S150" i="4"/>
  <c r="S153" i="4" s="1"/>
  <c r="M121" i="4"/>
  <c r="G51" i="4"/>
  <c r="S138" i="4"/>
  <c r="S152" i="4" s="1"/>
  <c r="C49" i="4"/>
  <c r="C51" i="4" s="1"/>
  <c r="R92" i="2"/>
  <c r="C52" i="4" l="1"/>
  <c r="D48" i="4" s="1"/>
  <c r="D52" i="4" s="1"/>
  <c r="E48" i="4" s="1"/>
  <c r="E52" i="4" s="1"/>
  <c r="F48" i="4" s="1"/>
  <c r="F52" i="4" s="1"/>
  <c r="G48" i="4" s="1"/>
  <c r="G52" i="4" s="1"/>
  <c r="H48" i="4" s="1"/>
  <c r="H52" i="4" s="1"/>
  <c r="I48" i="4" s="1"/>
  <c r="I52" i="4" s="1"/>
  <c r="J48" i="4" s="1"/>
  <c r="J52" i="4" s="1"/>
  <c r="K48" i="4" s="1"/>
  <c r="K52" i="4" s="1"/>
  <c r="L48" i="4" s="1"/>
  <c r="L52" i="4" s="1"/>
  <c r="M48" i="4" s="1"/>
  <c r="M52" i="4" s="1"/>
  <c r="N48" i="4" s="1"/>
  <c r="N52" i="4" s="1"/>
  <c r="C83" i="4" s="1"/>
  <c r="C87" i="4" s="1"/>
  <c r="D83" i="4" s="1"/>
  <c r="D87" i="4" s="1"/>
  <c r="E83" i="4" s="1"/>
  <c r="E87" i="4" s="1"/>
  <c r="F83" i="4" s="1"/>
  <c r="F87" i="4" s="1"/>
  <c r="G83" i="4" s="1"/>
  <c r="G87" i="4" s="1"/>
  <c r="H83" i="4" s="1"/>
  <c r="H87" i="4" s="1"/>
  <c r="I83" i="4" s="1"/>
  <c r="I87" i="4" s="1"/>
  <c r="J83" i="4" s="1"/>
  <c r="J87" i="4" s="1"/>
  <c r="K83" i="4" s="1"/>
  <c r="K87" i="4" s="1"/>
  <c r="L83" i="4" s="1"/>
  <c r="L87" i="4" s="1"/>
  <c r="M83" i="4" s="1"/>
  <c r="M87" i="4" s="1"/>
  <c r="N83" i="4" s="1"/>
  <c r="N87" i="4" s="1"/>
  <c r="C118" i="4" s="1"/>
  <c r="C122" i="4" s="1"/>
  <c r="D118" i="4" s="1"/>
  <c r="D122" i="4" s="1"/>
  <c r="E118" i="4" s="1"/>
  <c r="E122" i="4" s="1"/>
  <c r="F118" i="4" s="1"/>
  <c r="F122" i="4" s="1"/>
  <c r="G118" i="4" s="1"/>
  <c r="G122" i="4" s="1"/>
  <c r="H118" i="4" s="1"/>
  <c r="H122" i="4" s="1"/>
  <c r="I118" i="4" s="1"/>
  <c r="I122" i="4" s="1"/>
  <c r="J118" i="4" s="1"/>
  <c r="J122" i="4" s="1"/>
  <c r="K118" i="4" s="1"/>
  <c r="K122" i="4" s="1"/>
  <c r="L118" i="4" s="1"/>
  <c r="L122" i="4" s="1"/>
  <c r="M118" i="4" s="1"/>
  <c r="M122" i="4" s="1"/>
  <c r="N118" i="4" s="1"/>
  <c r="N122" i="4" s="1"/>
  <c r="C151" i="4" s="1"/>
  <c r="C155" i="4" s="1"/>
  <c r="D151" i="4" s="1"/>
  <c r="D155" i="4" s="1"/>
  <c r="E151" i="4" s="1"/>
  <c r="E155" i="4" s="1"/>
  <c r="F151" i="4" s="1"/>
  <c r="F155" i="4" s="1"/>
  <c r="G151" i="4" s="1"/>
  <c r="G155" i="4" s="1"/>
  <c r="H151" i="4" s="1"/>
  <c r="H155" i="4" s="1"/>
  <c r="I151" i="4" s="1"/>
  <c r="I155" i="4" s="1"/>
  <c r="J151" i="4" s="1"/>
  <c r="J155" i="4" s="1"/>
  <c r="K151" i="4" s="1"/>
  <c r="K155" i="4" s="1"/>
  <c r="L151" i="4" s="1"/>
  <c r="L155" i="4" s="1"/>
  <c r="M151" i="4" s="1"/>
  <c r="M155" i="4" s="1"/>
  <c r="N151" i="4" s="1"/>
  <c r="N155" i="4" s="1"/>
  <c r="O151" i="4" s="1"/>
  <c r="O155" i="4" s="1"/>
  <c r="P151" i="4" s="1"/>
  <c r="P155" i="4" s="1"/>
  <c r="Q151" i="4" s="1"/>
  <c r="Q155" i="4" s="1"/>
  <c r="R151" i="4" s="1"/>
  <c r="R155" i="4" s="1"/>
  <c r="S154" i="4"/>
  <c r="S15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</author>
    <author>whitebay</author>
  </authors>
  <commentList>
    <comment ref="D34" authorId="0" shapeId="0" xr:uid="{B6D2EE6A-7CEA-486D-89BA-E6A0BF7DE3FA}">
      <text>
        <r>
          <rPr>
            <b/>
            <sz val="9"/>
            <color indexed="81"/>
            <rFont val="Tahoma"/>
            <charset val="1"/>
          </rPr>
          <t>MOH:</t>
        </r>
        <r>
          <rPr>
            <sz val="9"/>
            <color indexed="81"/>
            <rFont val="Tahoma"/>
            <charset val="1"/>
          </rPr>
          <t xml:space="preserve">
Apport salarié Chakib</t>
        </r>
      </text>
    </comment>
    <comment ref="D45" authorId="0" shapeId="0" xr:uid="{24F0F366-3E3B-4018-A76A-8B86686E4C3C}">
      <text>
        <r>
          <rPr>
            <b/>
            <sz val="9"/>
            <color indexed="81"/>
            <rFont val="Tahoma"/>
            <charset val="1"/>
          </rPr>
          <t>MOH:echeanciers G50</t>
        </r>
      </text>
    </comment>
    <comment ref="D46" authorId="0" shapeId="0" xr:uid="{BA07B4B2-2C6D-4C35-A040-A6573EC8525D}">
      <text>
        <r>
          <rPr>
            <b/>
            <sz val="9"/>
            <color indexed="81"/>
            <rFont val="Tahoma"/>
            <charset val="1"/>
          </rPr>
          <t>MOH:</t>
        </r>
        <r>
          <rPr>
            <sz val="9"/>
            <color indexed="81"/>
            <rFont val="Tahoma"/>
            <charset val="1"/>
          </rPr>
          <t xml:space="preserve">
Achat consommables
</t>
        </r>
      </text>
    </comment>
    <comment ref="N46" authorId="1" shapeId="0" xr:uid="{72484D43-4192-4E16-BCDB-EEFD0792E386}">
      <text>
        <r>
          <rPr>
            <b/>
            <sz val="9"/>
            <color indexed="81"/>
            <rFont val="Tahoma"/>
            <family val="2"/>
          </rPr>
          <t>whitebay:</t>
        </r>
        <r>
          <rPr>
            <sz val="9"/>
            <color indexed="81"/>
            <rFont val="Tahoma"/>
            <family val="2"/>
          </rPr>
          <t xml:space="preserve">
Frais bancaire</t>
        </r>
      </text>
    </comment>
    <comment ref="J72" authorId="1" shapeId="0" xr:uid="{662963A0-567E-4044-AB40-C3F227399E3D}">
      <text>
        <r>
          <rPr>
            <b/>
            <sz val="11"/>
            <color indexed="81"/>
            <rFont val="Tahoma"/>
            <family val="2"/>
          </rPr>
          <t>whitebay:</t>
        </r>
        <r>
          <rPr>
            <sz val="11"/>
            <color indexed="81"/>
            <rFont val="Tahoma"/>
            <family val="2"/>
          </rPr>
          <t xml:space="preserve">
Paiement partiel paie amine lamine et chaki</t>
        </r>
        <r>
          <rPr>
            <sz val="9"/>
            <color indexed="81"/>
            <rFont val="Tahoma"/>
            <family val="2"/>
          </rPr>
          <t>b</t>
        </r>
      </text>
    </comment>
    <comment ref="K72" authorId="1" shapeId="0" xr:uid="{B24E1ED3-444C-4104-BB00-93E6534A7674}">
      <text>
        <r>
          <rPr>
            <b/>
            <sz val="9"/>
            <color indexed="81"/>
            <rFont val="Tahoma"/>
            <family val="2"/>
          </rPr>
          <t>whitebay:</t>
        </r>
        <r>
          <rPr>
            <sz val="9"/>
            <color indexed="81"/>
            <rFont val="Tahoma"/>
            <family val="2"/>
          </rPr>
          <t xml:space="preserve">
Chakib salaire mai+paie restante d'avril 2022 (25k)</t>
        </r>
      </text>
    </comment>
    <comment ref="M81" authorId="1" shapeId="0" xr:uid="{B168A631-124A-4D4D-9F1C-B2461A8801EF}">
      <text>
        <r>
          <rPr>
            <b/>
            <sz val="9"/>
            <color indexed="81"/>
            <rFont val="Tahoma"/>
            <family val="2"/>
          </rPr>
          <t>whitebay:</t>
        </r>
        <r>
          <rPr>
            <sz val="9"/>
            <color indexed="81"/>
            <rFont val="Tahoma"/>
            <family val="2"/>
          </rPr>
          <t xml:space="preserve">
Mensualité AT</t>
        </r>
      </text>
    </comment>
    <comment ref="N81" authorId="1" shapeId="0" xr:uid="{FD18436E-2570-4CFE-B4AC-D541BB4788AC}">
      <text>
        <r>
          <rPr>
            <b/>
            <sz val="9"/>
            <color indexed="81"/>
            <rFont val="Tahoma"/>
            <family val="2"/>
          </rPr>
          <t>whitebay:</t>
        </r>
        <r>
          <rPr>
            <sz val="9"/>
            <color indexed="81"/>
            <rFont val="Tahoma"/>
            <family val="2"/>
          </rPr>
          <t xml:space="preserve">
CASNOS</t>
        </r>
      </text>
    </comment>
    <comment ref="M149" authorId="1" shapeId="0" xr:uid="{F05B725D-601E-4E19-A97C-F9AEB0F81500}">
      <text>
        <r>
          <rPr>
            <b/>
            <sz val="9"/>
            <color indexed="81"/>
            <rFont val="Tahoma"/>
            <family val="2"/>
          </rPr>
          <t>whitebay:</t>
        </r>
        <r>
          <rPr>
            <sz val="9"/>
            <color indexed="81"/>
            <rFont val="Tahoma"/>
            <family val="2"/>
          </rPr>
          <t xml:space="preserve">
700 denomination BDA a recouvrir +traitement comptable</t>
        </r>
      </text>
    </comment>
  </commentList>
</comments>
</file>

<file path=xl/sharedStrings.xml><?xml version="1.0" encoding="utf-8"?>
<sst xmlns="http://schemas.openxmlformats.org/spreadsheetml/2006/main" count="462" uniqueCount="125">
  <si>
    <t>Elements                     Periodes</t>
  </si>
  <si>
    <t>Janvier 1-7</t>
  </si>
  <si>
    <t>Janvier 8-15</t>
  </si>
  <si>
    <t>Janvier 16-23</t>
  </si>
  <si>
    <t>Janvier 24-31</t>
  </si>
  <si>
    <t>Fevrier 1-7</t>
  </si>
  <si>
    <t>Fevrier 8-15</t>
  </si>
  <si>
    <t>Fevrier 16-23</t>
  </si>
  <si>
    <t>Fevrier 24-28</t>
  </si>
  <si>
    <t>Mars 1-7</t>
  </si>
  <si>
    <t>Mars 8-15</t>
  </si>
  <si>
    <t>Mars 16-23</t>
  </si>
  <si>
    <t>Mars 24-31</t>
  </si>
  <si>
    <t>Fixes</t>
  </si>
  <si>
    <t>Salaire Net</t>
  </si>
  <si>
    <t>IRG</t>
  </si>
  <si>
    <t>Secu 35%</t>
  </si>
  <si>
    <t>Abon.tel</t>
  </si>
  <si>
    <t>Loyer</t>
  </si>
  <si>
    <t>Total Fixes</t>
  </si>
  <si>
    <t>Variables</t>
  </si>
  <si>
    <t>G50 TAP</t>
  </si>
  <si>
    <t>G50 TVA</t>
  </si>
  <si>
    <t>G50 ACOMPTE IBS</t>
  </si>
  <si>
    <t>Achats materiels</t>
  </si>
  <si>
    <t>Autres</t>
  </si>
  <si>
    <t>Total Variables</t>
  </si>
  <si>
    <t>Total depenses periode</t>
  </si>
  <si>
    <t>Total depenses mois</t>
  </si>
  <si>
    <t xml:space="preserve">        </t>
  </si>
  <si>
    <t xml:space="preserve">   </t>
  </si>
  <si>
    <t xml:space="preserve">  </t>
  </si>
  <si>
    <t xml:space="preserve">    </t>
  </si>
  <si>
    <t xml:space="preserve">      </t>
  </si>
  <si>
    <t>Avril 1-7</t>
  </si>
  <si>
    <t>Avril 8-15</t>
  </si>
  <si>
    <t>Avril 16-23</t>
  </si>
  <si>
    <t>Avril 24-30</t>
  </si>
  <si>
    <t>Mai 1-7</t>
  </si>
  <si>
    <t>Mai 8-15</t>
  </si>
  <si>
    <t>Mai 16-23</t>
  </si>
  <si>
    <t>Mai 24-31</t>
  </si>
  <si>
    <t>Juin 1-7</t>
  </si>
  <si>
    <t>Juin 8-15</t>
  </si>
  <si>
    <t>Juin 16-23</t>
  </si>
  <si>
    <t>Juin 24-30</t>
  </si>
  <si>
    <t xml:space="preserve"> </t>
  </si>
  <si>
    <t>Juillet 1-7</t>
  </si>
  <si>
    <t>Juillet 8-15</t>
  </si>
  <si>
    <t>Juillet 16-23</t>
  </si>
  <si>
    <t>Juillet 24-31</t>
  </si>
  <si>
    <t>Aout 1-7</t>
  </si>
  <si>
    <t>Aout 8-15</t>
  </si>
  <si>
    <t>Aout 16-23</t>
  </si>
  <si>
    <t>Aout 24-31</t>
  </si>
  <si>
    <t>Septembre 1-7</t>
  </si>
  <si>
    <t>Septembre 8-15</t>
  </si>
  <si>
    <t>Septembre 16-23</t>
  </si>
  <si>
    <t>Septembre 24-31</t>
  </si>
  <si>
    <t>Octobre 1-7</t>
  </si>
  <si>
    <t>Octobre 8-15</t>
  </si>
  <si>
    <t>Octobre 16-23</t>
  </si>
  <si>
    <t>Octobre 24-31</t>
  </si>
  <si>
    <t>Novembre 1-7</t>
  </si>
  <si>
    <t>Novembre 8-15</t>
  </si>
  <si>
    <t>Novembre 16-23</t>
  </si>
  <si>
    <t>Novembre 24-31</t>
  </si>
  <si>
    <t>Decembre 1-7</t>
  </si>
  <si>
    <t>Decembre 8-15</t>
  </si>
  <si>
    <t>Decembre 16-23</t>
  </si>
  <si>
    <t>Decembre 24-31</t>
  </si>
  <si>
    <t>janvier 8-15-21</t>
  </si>
  <si>
    <t>janvier 16-23-21</t>
  </si>
  <si>
    <t>janvier 24-31-21</t>
  </si>
  <si>
    <t>TOTAL</t>
  </si>
  <si>
    <t>Janvier  8-15</t>
  </si>
  <si>
    <t>Janvier  16-23</t>
  </si>
  <si>
    <t>Janvier  24-31</t>
  </si>
  <si>
    <t>Clients</t>
  </si>
  <si>
    <t>Henkel</t>
  </si>
  <si>
    <t>KNAUF</t>
  </si>
  <si>
    <t>MyTeamConnect</t>
  </si>
  <si>
    <t>Lafarge</t>
  </si>
  <si>
    <t>DIGITAL NATIVES</t>
  </si>
  <si>
    <t>Beyond</t>
  </si>
  <si>
    <t>Kimmco</t>
  </si>
  <si>
    <t>Insersite</t>
  </si>
  <si>
    <t>In Solutions</t>
  </si>
  <si>
    <t>Autres ( tva déductibles)</t>
  </si>
  <si>
    <t>Total encaissements periode HT</t>
  </si>
  <si>
    <t>Total encaissements mois</t>
  </si>
  <si>
    <t xml:space="preserve">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</si>
  <si>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</t>
  </si>
  <si>
    <t>Mai  8-15</t>
  </si>
  <si>
    <t>Mai  16-23</t>
  </si>
  <si>
    <t>Mai  24-31</t>
  </si>
  <si>
    <t>Impact design</t>
  </si>
  <si>
    <t>Total encaissements periode</t>
  </si>
  <si>
    <t>Septembre 24-30</t>
  </si>
  <si>
    <t>Octobre 24-30</t>
  </si>
  <si>
    <t>Novembre 24-30</t>
  </si>
  <si>
    <t>Decembre 24-30</t>
  </si>
  <si>
    <t>Janvier 1-7-21</t>
  </si>
  <si>
    <t>Janvier 8-15-21</t>
  </si>
  <si>
    <t>Janvier 16-23-21</t>
  </si>
  <si>
    <t>Janvier 24-30-21</t>
  </si>
  <si>
    <t>Encaissements</t>
  </si>
  <si>
    <t>Autres ( tva déductibles,,,)</t>
  </si>
  <si>
    <t>TOTAL Encaissements</t>
  </si>
  <si>
    <t>Décaissements</t>
  </si>
  <si>
    <t>IRG G50</t>
  </si>
  <si>
    <t>G50 Hors IRG</t>
  </si>
  <si>
    <t>TAP</t>
  </si>
  <si>
    <t>TVA</t>
  </si>
  <si>
    <t>Acompte IBS</t>
  </si>
  <si>
    <t>TOTAL Décaissements</t>
  </si>
  <si>
    <t>Trésorerie initiale</t>
  </si>
  <si>
    <t>Solde periode</t>
  </si>
  <si>
    <t>Trésorerie finale</t>
  </si>
  <si>
    <t xml:space="preserve">     </t>
  </si>
  <si>
    <t>Insersite/Frere</t>
  </si>
  <si>
    <t>Hhenkel</t>
  </si>
  <si>
    <t>FLUX DE TRESORERIE ET GESTION BUDGETAIRE</t>
  </si>
  <si>
    <t>Prévisions Encaissements</t>
  </si>
  <si>
    <t>Prévisions 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</si>
</sst>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rgb="FF222222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2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4" xfId="0" applyBorder="1"/>
    <xf numFmtId="4" fontId="0" fillId="0" borderId="0" xfId="0" applyNumberFormat="1"/>
    <xf numFmtId="4" fontId="0" fillId="3" borderId="4" xfId="0" applyNumberFormat="1" applyFill="1" applyBorder="1"/>
    <xf numFmtId="0" fontId="0" fillId="4" borderId="3" xfId="0" applyFill="1" applyBorder="1" applyAlignment="1">
      <alignment horizontal="center"/>
    </xf>
    <xf numFmtId="4" fontId="0" fillId="5" borderId="0" xfId="0" applyNumberFormat="1" applyFill="1"/>
    <xf numFmtId="4" fontId="0" fillId="6" borderId="0" xfId="0" applyNumberFormat="1" applyFill="1"/>
    <xf numFmtId="0" fontId="0" fillId="0" borderId="3" xfId="0" applyBorder="1"/>
    <xf numFmtId="4" fontId="4" fillId="3" borderId="4" xfId="0" applyNumberFormat="1" applyFont="1" applyFill="1" applyBorder="1"/>
    <xf numFmtId="4" fontId="0" fillId="7" borderId="4" xfId="0" applyNumberFormat="1" applyFill="1" applyBorder="1"/>
    <xf numFmtId="3" fontId="0" fillId="0" borderId="0" xfId="0" applyNumberFormat="1"/>
    <xf numFmtId="4" fontId="0" fillId="8" borderId="6" xfId="0" applyNumberFormat="1" applyFill="1" applyBorder="1"/>
    <xf numFmtId="4" fontId="4" fillId="7" borderId="3" xfId="0" applyNumberFormat="1" applyFont="1" applyFill="1" applyBorder="1"/>
    <xf numFmtId="0" fontId="5" fillId="0" borderId="0" xfId="0" applyFont="1" applyAlignment="1">
      <alignment horizontal="left" vertical="center" wrapText="1" indent="1"/>
    </xf>
    <xf numFmtId="0" fontId="0" fillId="0" borderId="10" xfId="0" applyBorder="1"/>
    <xf numFmtId="4" fontId="6" fillId="0" borderId="0" xfId="0" applyNumberFormat="1" applyFont="1"/>
    <xf numFmtId="4" fontId="2" fillId="0" borderId="0" xfId="0" applyNumberFormat="1" applyFont="1"/>
    <xf numFmtId="4" fontId="7" fillId="0" borderId="0" xfId="0" applyNumberFormat="1" applyFont="1"/>
    <xf numFmtId="4" fontId="0" fillId="8" borderId="4" xfId="0" applyNumberFormat="1" applyFill="1" applyBorder="1"/>
    <xf numFmtId="10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/>
    <xf numFmtId="4" fontId="0" fillId="9" borderId="4" xfId="0" applyNumberFormat="1" applyFill="1" applyBorder="1"/>
    <xf numFmtId="0" fontId="0" fillId="4" borderId="11" xfId="0" applyFill="1" applyBorder="1" applyAlignment="1">
      <alignment horizontal="center" vertical="center"/>
    </xf>
    <xf numFmtId="4" fontId="0" fillId="9" borderId="0" xfId="0" applyNumberFormat="1" applyFill="1"/>
    <xf numFmtId="0" fontId="0" fillId="4" borderId="9" xfId="0" applyFill="1" applyBorder="1" applyAlignment="1">
      <alignment horizontal="center" vertical="center"/>
    </xf>
    <xf numFmtId="4" fontId="0" fillId="10" borderId="3" xfId="0" applyNumberFormat="1" applyFill="1" applyBorder="1"/>
    <xf numFmtId="4" fontId="0" fillId="8" borderId="3" xfId="0" applyNumberFormat="1" applyFill="1" applyBorder="1"/>
    <xf numFmtId="4" fontId="0" fillId="10" borderId="4" xfId="0" applyNumberFormat="1" applyFill="1" applyBorder="1"/>
    <xf numFmtId="4" fontId="6" fillId="7" borderId="4" xfId="0" applyNumberFormat="1" applyFont="1" applyFill="1" applyBorder="1"/>
    <xf numFmtId="4" fontId="6" fillId="9" borderId="0" xfId="0" applyNumberFormat="1" applyFont="1" applyFill="1"/>
    <xf numFmtId="0" fontId="0" fillId="4" borderId="9" xfId="0" applyFill="1" applyBorder="1" applyAlignment="1">
      <alignment horizontal="center"/>
    </xf>
    <xf numFmtId="0" fontId="0" fillId="4" borderId="9" xfId="0" applyFill="1" applyBorder="1"/>
    <xf numFmtId="4" fontId="6" fillId="10" borderId="3" xfId="0" applyNumberFormat="1" applyFont="1" applyFill="1" applyBorder="1"/>
    <xf numFmtId="4" fontId="6" fillId="8" borderId="3" xfId="0" applyNumberFormat="1" applyFont="1" applyFill="1" applyBorder="1"/>
    <xf numFmtId="4" fontId="6" fillId="8" borderId="4" xfId="0" applyNumberFormat="1" applyFont="1" applyFill="1" applyBorder="1"/>
    <xf numFmtId="4" fontId="6" fillId="10" borderId="4" xfId="0" applyNumberFormat="1" applyFont="1" applyFill="1" applyBorder="1"/>
    <xf numFmtId="4" fontId="0" fillId="11" borderId="0" xfId="0" applyNumberFormat="1" applyFill="1"/>
    <xf numFmtId="4" fontId="0" fillId="7" borderId="0" xfId="0" applyNumberFormat="1" applyFill="1"/>
    <xf numFmtId="0" fontId="0" fillId="0" borderId="0" xfId="0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center"/>
    </xf>
    <xf numFmtId="4" fontId="0" fillId="8" borderId="4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4" fontId="0" fillId="8" borderId="7" xfId="0" applyNumberFormat="1" applyFill="1" applyBorder="1" applyAlignment="1">
      <alignment horizontal="center"/>
    </xf>
    <xf numFmtId="4" fontId="0" fillId="8" borderId="8" xfId="0" applyNumberFormat="1" applyFill="1" applyBorder="1" applyAlignment="1">
      <alignment horizontal="center"/>
    </xf>
    <xf numFmtId="4" fontId="0" fillId="8" borderId="9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212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strike val="0"/>
        <color rgb="FFC00000"/>
      </font>
      <fill>
        <patternFill patternType="solid">
          <fgColor auto="1"/>
          <bgColor theme="4" tint="0.79998168889431442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rgb="FF000000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rgb="FF000000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rgb="FF000000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rgb="FF000000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rgb="FF000000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4" formatCode="#,##0.00"/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" formatCode="#,##0.00"/>
    </dxf>
    <dxf>
      <border>
        <top style="thin">
          <color auto="1"/>
        </top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1127125</xdr:colOff>
      <xdr:row>2</xdr:row>
      <xdr:rowOff>15875</xdr:rowOff>
    </xdr:from>
    <xdr:to>
      <xdr:col>13</xdr:col>
      <xdr:colOff>47625</xdr:colOff>
      <xdr:row>16</xdr:row>
      <xdr:rowOff>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7505DDC6-F5CA-47CD-9A1A-61AE8A9BCAE9}"/>
            </a:ext>
          </a:extLst>
        </xdr:cNvPr>
        <xdr:cNvGrpSpPr>
          <a:grpSpLocks/>
        </xdr:cNvGrpSpPr>
      </xdr:nvGrpSpPr>
      <xdr:grpSpPr bwMode="auto">
        <a:xfrm>
          <a:off x="1960563" y="396875"/>
          <a:ext cx="16803687" cy="2651125"/>
          <a:chOff x="0" y="0"/>
          <a:chExt cx="12246" cy="241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F81C7F1-9C45-492E-90A1-576F69B6C170}"/>
              </a:ext>
            </a:extLst>
          </xdr:cNvPr>
          <xdr:cNvSpPr>
            <a:spLocks noChangeArrowheads="1"/>
          </xdr:cNvSpPr>
        </xdr:nvSpPr>
        <xdr:spPr bwMode="auto">
          <a:xfrm>
            <a:off x="4842" y="892"/>
            <a:ext cx="7403" cy="1057"/>
          </a:xfrm>
          <a:prstGeom prst="rect">
            <a:avLst/>
          </a:prstGeom>
          <a:solidFill>
            <a:srgbClr val="4D4D4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4" name="Freeform 33">
            <a:extLst>
              <a:ext uri="{FF2B5EF4-FFF2-40B4-BE49-F238E27FC236}">
                <a16:creationId xmlns:a16="http://schemas.microsoft.com/office/drawing/2014/main" id="{E7C61B7E-9361-4559-887B-0ED7D0D420EB}"/>
              </a:ext>
            </a:extLst>
          </xdr:cNvPr>
          <xdr:cNvSpPr>
            <a:spLocks/>
          </xdr:cNvSpPr>
        </xdr:nvSpPr>
        <xdr:spPr bwMode="auto">
          <a:xfrm>
            <a:off x="0" y="0"/>
            <a:ext cx="12246" cy="2369"/>
          </a:xfrm>
          <a:custGeom>
            <a:avLst/>
            <a:gdLst>
              <a:gd name="T0" fmla="*/ 12246 w 12246"/>
              <a:gd name="T1" fmla="*/ 0 h 2369"/>
              <a:gd name="T2" fmla="*/ 0 w 12246"/>
              <a:gd name="T3" fmla="*/ 0 h 2369"/>
              <a:gd name="T4" fmla="*/ 0 w 12246"/>
              <a:gd name="T5" fmla="*/ 2369 h 2369"/>
              <a:gd name="T6" fmla="*/ 4261 w 12246"/>
              <a:gd name="T7" fmla="*/ 2369 h 2369"/>
              <a:gd name="T8" fmla="*/ 4340 w 12246"/>
              <a:gd name="T9" fmla="*/ 2367 h 2369"/>
              <a:gd name="T10" fmla="*/ 4418 w 12246"/>
              <a:gd name="T11" fmla="*/ 2364 h 2369"/>
              <a:gd name="T12" fmla="*/ 4496 w 12246"/>
              <a:gd name="T13" fmla="*/ 2358 h 2369"/>
              <a:gd name="T14" fmla="*/ 4574 w 12246"/>
              <a:gd name="T15" fmla="*/ 2349 h 2369"/>
              <a:gd name="T16" fmla="*/ 4652 w 12246"/>
              <a:gd name="T17" fmla="*/ 2338 h 2369"/>
              <a:gd name="T18" fmla="*/ 4729 w 12246"/>
              <a:gd name="T19" fmla="*/ 2325 h 2369"/>
              <a:gd name="T20" fmla="*/ 4806 w 12246"/>
              <a:gd name="T21" fmla="*/ 2309 h 2369"/>
              <a:gd name="T22" fmla="*/ 4882 w 12246"/>
              <a:gd name="T23" fmla="*/ 2291 h 2369"/>
              <a:gd name="T24" fmla="*/ 4957 w 12246"/>
              <a:gd name="T25" fmla="*/ 2271 h 2369"/>
              <a:gd name="T26" fmla="*/ 5032 w 12246"/>
              <a:gd name="T27" fmla="*/ 2248 h 2369"/>
              <a:gd name="T28" fmla="*/ 5106 w 12246"/>
              <a:gd name="T29" fmla="*/ 2223 h 2369"/>
              <a:gd name="T30" fmla="*/ 5179 w 12246"/>
              <a:gd name="T31" fmla="*/ 2196 h 2369"/>
              <a:gd name="T32" fmla="*/ 5252 w 12246"/>
              <a:gd name="T33" fmla="*/ 2167 h 2369"/>
              <a:gd name="T34" fmla="*/ 5324 w 12246"/>
              <a:gd name="T35" fmla="*/ 2135 h 2369"/>
              <a:gd name="T36" fmla="*/ 5394 w 12246"/>
              <a:gd name="T37" fmla="*/ 2101 h 2369"/>
              <a:gd name="T38" fmla="*/ 5464 w 12246"/>
              <a:gd name="T39" fmla="*/ 2065 h 2369"/>
              <a:gd name="T40" fmla="*/ 5533 w 12246"/>
              <a:gd name="T41" fmla="*/ 2026 h 2369"/>
              <a:gd name="T42" fmla="*/ 6220 w 12246"/>
              <a:gd name="T43" fmla="*/ 1627 h 2369"/>
              <a:gd name="T44" fmla="*/ 6288 w 12246"/>
              <a:gd name="T45" fmla="*/ 1589 h 2369"/>
              <a:gd name="T46" fmla="*/ 6358 w 12246"/>
              <a:gd name="T47" fmla="*/ 1552 h 2369"/>
              <a:gd name="T48" fmla="*/ 6428 w 12246"/>
              <a:gd name="T49" fmla="*/ 1516 h 2369"/>
              <a:gd name="T50" fmla="*/ 6499 w 12246"/>
              <a:gd name="T51" fmla="*/ 1483 h 2369"/>
              <a:gd name="T52" fmla="*/ 6570 w 12246"/>
              <a:gd name="T53" fmla="*/ 1451 h 2369"/>
              <a:gd name="T54" fmla="*/ 6643 w 12246"/>
              <a:gd name="T55" fmla="*/ 1421 h 2369"/>
              <a:gd name="T56" fmla="*/ 6716 w 12246"/>
              <a:gd name="T57" fmla="*/ 1393 h 2369"/>
              <a:gd name="T58" fmla="*/ 6789 w 12246"/>
              <a:gd name="T59" fmla="*/ 1366 h 2369"/>
              <a:gd name="T60" fmla="*/ 6863 w 12246"/>
              <a:gd name="T61" fmla="*/ 1341 h 2369"/>
              <a:gd name="T62" fmla="*/ 6938 w 12246"/>
              <a:gd name="T63" fmla="*/ 1318 h 2369"/>
              <a:gd name="T64" fmla="*/ 7013 w 12246"/>
              <a:gd name="T65" fmla="*/ 1297 h 2369"/>
              <a:gd name="T66" fmla="*/ 7089 w 12246"/>
              <a:gd name="T67" fmla="*/ 1278 h 2369"/>
              <a:gd name="T68" fmla="*/ 7165 w 12246"/>
              <a:gd name="T69" fmla="*/ 1260 h 2369"/>
              <a:gd name="T70" fmla="*/ 7242 w 12246"/>
              <a:gd name="T71" fmla="*/ 1244 h 2369"/>
              <a:gd name="T72" fmla="*/ 7319 w 12246"/>
              <a:gd name="T73" fmla="*/ 1230 h 2369"/>
              <a:gd name="T74" fmla="*/ 7396 w 12246"/>
              <a:gd name="T75" fmla="*/ 1218 h 2369"/>
              <a:gd name="T76" fmla="*/ 7474 w 12246"/>
              <a:gd name="T77" fmla="*/ 1208 h 2369"/>
              <a:gd name="T78" fmla="*/ 7551 w 12246"/>
              <a:gd name="T79" fmla="*/ 1199 h 2369"/>
              <a:gd name="T80" fmla="*/ 7630 w 12246"/>
              <a:gd name="T81" fmla="*/ 1193 h 2369"/>
              <a:gd name="T82" fmla="*/ 7708 w 12246"/>
              <a:gd name="T83" fmla="*/ 1188 h 2369"/>
              <a:gd name="T84" fmla="*/ 7787 w 12246"/>
              <a:gd name="T85" fmla="*/ 1185 h 2369"/>
              <a:gd name="T86" fmla="*/ 7865 w 12246"/>
              <a:gd name="T87" fmla="*/ 1184 h 2369"/>
              <a:gd name="T88" fmla="*/ 12246 w 12246"/>
              <a:gd name="T89" fmla="*/ 1184 h 2369"/>
              <a:gd name="T90" fmla="*/ 12246 w 12246"/>
              <a:gd name="T91" fmla="*/ 0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2246" h="2369">
                <a:moveTo>
                  <a:pt x="12246" y="0"/>
                </a:move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0"/>
                </a:lnTo>
                <a:close/>
              </a:path>
            </a:pathLst>
          </a:custGeom>
          <a:solidFill>
            <a:srgbClr val="4370B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5" name="Freeform 32">
            <a:extLst>
              <a:ext uri="{FF2B5EF4-FFF2-40B4-BE49-F238E27FC236}">
                <a16:creationId xmlns:a16="http://schemas.microsoft.com/office/drawing/2014/main" id="{A1CA3699-3F77-4DDD-9BB7-9DCD43CF0491}"/>
              </a:ext>
            </a:extLst>
          </xdr:cNvPr>
          <xdr:cNvSpPr>
            <a:spLocks/>
          </xdr:cNvSpPr>
        </xdr:nvSpPr>
        <xdr:spPr bwMode="auto">
          <a:xfrm>
            <a:off x="0" y="0"/>
            <a:ext cx="9130" cy="2369"/>
          </a:xfrm>
          <a:custGeom>
            <a:avLst/>
            <a:gdLst>
              <a:gd name="T0" fmla="*/ 9130 w 9130"/>
              <a:gd name="T1" fmla="*/ 1184 h 2369"/>
              <a:gd name="T2" fmla="*/ 5988 w 9130"/>
              <a:gd name="T3" fmla="*/ 0 h 2369"/>
              <a:gd name="T4" fmla="*/ 3493 w 9130"/>
              <a:gd name="T5" fmla="*/ 0 h 2369"/>
              <a:gd name="T6" fmla="*/ 0 w 9130"/>
              <a:gd name="T7" fmla="*/ 0 h 2369"/>
              <a:gd name="T8" fmla="*/ 0 w 9130"/>
              <a:gd name="T9" fmla="*/ 2369 h 2369"/>
              <a:gd name="T10" fmla="*/ 4261 w 9130"/>
              <a:gd name="T11" fmla="*/ 2369 h 2369"/>
              <a:gd name="T12" fmla="*/ 4340 w 9130"/>
              <a:gd name="T13" fmla="*/ 2367 h 2369"/>
              <a:gd name="T14" fmla="*/ 4418 w 9130"/>
              <a:gd name="T15" fmla="*/ 2364 h 2369"/>
              <a:gd name="T16" fmla="*/ 4496 w 9130"/>
              <a:gd name="T17" fmla="*/ 2358 h 2369"/>
              <a:gd name="T18" fmla="*/ 4574 w 9130"/>
              <a:gd name="T19" fmla="*/ 2349 h 2369"/>
              <a:gd name="T20" fmla="*/ 4652 w 9130"/>
              <a:gd name="T21" fmla="*/ 2338 h 2369"/>
              <a:gd name="T22" fmla="*/ 4729 w 9130"/>
              <a:gd name="T23" fmla="*/ 2325 h 2369"/>
              <a:gd name="T24" fmla="*/ 4806 w 9130"/>
              <a:gd name="T25" fmla="*/ 2309 h 2369"/>
              <a:gd name="T26" fmla="*/ 4882 w 9130"/>
              <a:gd name="T27" fmla="*/ 2291 h 2369"/>
              <a:gd name="T28" fmla="*/ 4957 w 9130"/>
              <a:gd name="T29" fmla="*/ 2271 h 2369"/>
              <a:gd name="T30" fmla="*/ 5032 w 9130"/>
              <a:gd name="T31" fmla="*/ 2248 h 2369"/>
              <a:gd name="T32" fmla="*/ 5106 w 9130"/>
              <a:gd name="T33" fmla="*/ 2223 h 2369"/>
              <a:gd name="T34" fmla="*/ 5179 w 9130"/>
              <a:gd name="T35" fmla="*/ 2196 h 2369"/>
              <a:gd name="T36" fmla="*/ 5252 w 9130"/>
              <a:gd name="T37" fmla="*/ 2167 h 2369"/>
              <a:gd name="T38" fmla="*/ 5324 w 9130"/>
              <a:gd name="T39" fmla="*/ 2135 h 2369"/>
              <a:gd name="T40" fmla="*/ 5394 w 9130"/>
              <a:gd name="T41" fmla="*/ 2101 h 2369"/>
              <a:gd name="T42" fmla="*/ 5464 w 9130"/>
              <a:gd name="T43" fmla="*/ 2065 h 2369"/>
              <a:gd name="T44" fmla="*/ 5533 w 9130"/>
              <a:gd name="T45" fmla="*/ 2026 h 2369"/>
              <a:gd name="T46" fmla="*/ 5880 w 9130"/>
              <a:gd name="T47" fmla="*/ 1824 h 2369"/>
              <a:gd name="T48" fmla="*/ 6220 w 9130"/>
              <a:gd name="T49" fmla="*/ 1627 h 2369"/>
              <a:gd name="T50" fmla="*/ 6288 w 9130"/>
              <a:gd name="T51" fmla="*/ 1589 h 2369"/>
              <a:gd name="T52" fmla="*/ 6358 w 9130"/>
              <a:gd name="T53" fmla="*/ 1552 h 2369"/>
              <a:gd name="T54" fmla="*/ 6428 w 9130"/>
              <a:gd name="T55" fmla="*/ 1516 h 2369"/>
              <a:gd name="T56" fmla="*/ 6499 w 9130"/>
              <a:gd name="T57" fmla="*/ 1483 h 2369"/>
              <a:gd name="T58" fmla="*/ 6570 w 9130"/>
              <a:gd name="T59" fmla="*/ 1451 h 2369"/>
              <a:gd name="T60" fmla="*/ 6643 w 9130"/>
              <a:gd name="T61" fmla="*/ 1421 h 2369"/>
              <a:gd name="T62" fmla="*/ 6716 w 9130"/>
              <a:gd name="T63" fmla="*/ 1393 h 2369"/>
              <a:gd name="T64" fmla="*/ 6789 w 9130"/>
              <a:gd name="T65" fmla="*/ 1366 h 2369"/>
              <a:gd name="T66" fmla="*/ 6863 w 9130"/>
              <a:gd name="T67" fmla="*/ 1341 h 2369"/>
              <a:gd name="T68" fmla="*/ 6938 w 9130"/>
              <a:gd name="T69" fmla="*/ 1318 h 2369"/>
              <a:gd name="T70" fmla="*/ 7013 w 9130"/>
              <a:gd name="T71" fmla="*/ 1297 h 2369"/>
              <a:gd name="T72" fmla="*/ 7089 w 9130"/>
              <a:gd name="T73" fmla="*/ 1278 h 2369"/>
              <a:gd name="T74" fmla="*/ 7165 w 9130"/>
              <a:gd name="T75" fmla="*/ 1260 h 2369"/>
              <a:gd name="T76" fmla="*/ 7242 w 9130"/>
              <a:gd name="T77" fmla="*/ 1244 h 2369"/>
              <a:gd name="T78" fmla="*/ 7319 w 9130"/>
              <a:gd name="T79" fmla="*/ 1230 h 2369"/>
              <a:gd name="T80" fmla="*/ 7396 w 9130"/>
              <a:gd name="T81" fmla="*/ 1218 h 2369"/>
              <a:gd name="T82" fmla="*/ 7473 w 9130"/>
              <a:gd name="T83" fmla="*/ 1208 h 2369"/>
              <a:gd name="T84" fmla="*/ 7551 w 9130"/>
              <a:gd name="T85" fmla="*/ 1199 h 2369"/>
              <a:gd name="T86" fmla="*/ 7630 w 9130"/>
              <a:gd name="T87" fmla="*/ 1193 h 2369"/>
              <a:gd name="T88" fmla="*/ 7708 w 9130"/>
              <a:gd name="T89" fmla="*/ 1188 h 2369"/>
              <a:gd name="T90" fmla="*/ 7787 w 9130"/>
              <a:gd name="T91" fmla="*/ 1185 h 2369"/>
              <a:gd name="T92" fmla="*/ 7865 w 9130"/>
              <a:gd name="T93" fmla="*/ 1184 h 2369"/>
              <a:gd name="T94" fmla="*/ 9130 w 9130"/>
              <a:gd name="T95" fmla="*/ 1184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9130" h="2369">
                <a:moveTo>
                  <a:pt x="9130" y="1184"/>
                </a:moveTo>
                <a:lnTo>
                  <a:pt x="5988" y="0"/>
                </a:lnTo>
                <a:lnTo>
                  <a:pt x="3493" y="0"/>
                </a:ln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5880" y="1824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3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9130" y="1184"/>
                </a:lnTo>
              </a:path>
            </a:pathLst>
          </a:custGeom>
          <a:solidFill>
            <a:srgbClr val="2758A8">
              <a:alpha val="29999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6" name="AutoShape 31">
            <a:extLst>
              <a:ext uri="{FF2B5EF4-FFF2-40B4-BE49-F238E27FC236}">
                <a16:creationId xmlns:a16="http://schemas.microsoft.com/office/drawing/2014/main" id="{67D4CDFA-BA4B-460D-8E6D-B9681DA1A748}"/>
              </a:ext>
            </a:extLst>
          </xdr:cNvPr>
          <xdr:cNvSpPr>
            <a:spLocks/>
          </xdr:cNvSpPr>
        </xdr:nvSpPr>
        <xdr:spPr bwMode="auto">
          <a:xfrm>
            <a:off x="0" y="50"/>
            <a:ext cx="12246" cy="2369"/>
          </a:xfrm>
          <a:custGeom>
            <a:avLst/>
            <a:gdLst>
              <a:gd name="T0" fmla="*/ 7695 w 12246"/>
              <a:gd name="T1" fmla="+- 0 1042 50"/>
              <a:gd name="T2" fmla="*/ 1042 h 2369"/>
              <a:gd name="T3" fmla="*/ 7538 w 12246"/>
              <a:gd name="T4" fmla="+- 0 1046 50"/>
              <a:gd name="T5" fmla="*/ 1046 h 2369"/>
              <a:gd name="T6" fmla="*/ 7381 w 12246"/>
              <a:gd name="T7" fmla="+- 0 1057 50"/>
              <a:gd name="T8" fmla="*/ 1057 h 2369"/>
              <a:gd name="T9" fmla="*/ 7226 w 12246"/>
              <a:gd name="T10" fmla="+- 0 1076 50"/>
              <a:gd name="T11" fmla="*/ 1076 h 2369"/>
              <a:gd name="T12" fmla="*/ 7072 w 12246"/>
              <a:gd name="T13" fmla="+- 0 1102 50"/>
              <a:gd name="T14" fmla="*/ 1102 h 2369"/>
              <a:gd name="T15" fmla="*/ 6919 w 12246"/>
              <a:gd name="T16" fmla="+- 0 1136 50"/>
              <a:gd name="T17" fmla="*/ 1136 h 2369"/>
              <a:gd name="T18" fmla="*/ 6768 w 12246"/>
              <a:gd name="T19" fmla="+- 0 1176 50"/>
              <a:gd name="T20" fmla="*/ 1176 h 2369"/>
              <a:gd name="T21" fmla="*/ 6619 w 12246"/>
              <a:gd name="T22" fmla="+- 0 1224 50"/>
              <a:gd name="T23" fmla="*/ 1224 h 2369"/>
              <a:gd name="T24" fmla="*/ 6473 w 12246"/>
              <a:gd name="T25" fmla="+- 0 1279 50"/>
              <a:gd name="T26" fmla="*/ 1279 h 2369"/>
              <a:gd name="T27" fmla="*/ 6329 w 12246"/>
              <a:gd name="T28" fmla="+- 0 1341 50"/>
              <a:gd name="T29" fmla="*/ 1341 h 2369"/>
              <a:gd name="T30" fmla="*/ 6188 w 12246"/>
              <a:gd name="T31" fmla="+- 0 1410 50"/>
              <a:gd name="T32" fmla="*/ 1410 h 2369"/>
              <a:gd name="T33" fmla="*/ 6050 w 12246"/>
              <a:gd name="T34" fmla="+- 0 1485 50"/>
              <a:gd name="T35" fmla="*/ 1485 h 2369"/>
              <a:gd name="T36" fmla="*/ 5294 w 12246"/>
              <a:gd name="T37" fmla="+- 0 1923 50"/>
              <a:gd name="T38" fmla="*/ 1923 h 2369"/>
              <a:gd name="T39" fmla="*/ 5154 w 12246"/>
              <a:gd name="T40" fmla="+- 0 1993 50"/>
              <a:gd name="T41" fmla="*/ 1993 h 2369"/>
              <a:gd name="T42" fmla="*/ 5009 w 12246"/>
              <a:gd name="T43" fmla="+- 0 2054 50"/>
              <a:gd name="T44" fmla="*/ 2054 h 2369"/>
              <a:gd name="T45" fmla="*/ 4862 w 12246"/>
              <a:gd name="T46" fmla="+- 0 2106 50"/>
              <a:gd name="T47" fmla="*/ 2106 h 2369"/>
              <a:gd name="T48" fmla="*/ 4712 w 12246"/>
              <a:gd name="T49" fmla="+- 0 2149 50"/>
              <a:gd name="T50" fmla="*/ 2149 h 2369"/>
              <a:gd name="T51" fmla="*/ 4559 w 12246"/>
              <a:gd name="T52" fmla="+- 0 2183 50"/>
              <a:gd name="T53" fmla="*/ 2183 h 2369"/>
              <a:gd name="T54" fmla="*/ 4404 w 12246"/>
              <a:gd name="T55" fmla="+- 0 2207 50"/>
              <a:gd name="T56" fmla="*/ 2207 h 2369"/>
              <a:gd name="T57" fmla="*/ 4248 w 12246"/>
              <a:gd name="T58" fmla="+- 0 2222 50"/>
              <a:gd name="T59" fmla="*/ 2222 h 2369"/>
              <a:gd name="T60" fmla="*/ 4091 w 12246"/>
              <a:gd name="T61" fmla="+- 0 2227 50"/>
              <a:gd name="T62" fmla="*/ 2227 h 2369"/>
              <a:gd name="T63" fmla="*/ 0 w 12246"/>
              <a:gd name="T64" fmla="+- 0 2419 50"/>
              <a:gd name="T65" fmla="*/ 2419 h 2369"/>
              <a:gd name="T66" fmla="*/ 4340 w 12246"/>
              <a:gd name="T67" fmla="+- 0 2417 50"/>
              <a:gd name="T68" fmla="*/ 2417 h 2369"/>
              <a:gd name="T69" fmla="*/ 4496 w 12246"/>
              <a:gd name="T70" fmla="+- 0 2408 50"/>
              <a:gd name="T71" fmla="*/ 2408 h 2369"/>
              <a:gd name="T72" fmla="*/ 4652 w 12246"/>
              <a:gd name="T73" fmla="+- 0 2388 50"/>
              <a:gd name="T74" fmla="*/ 2388 h 2369"/>
              <a:gd name="T75" fmla="*/ 4806 w 12246"/>
              <a:gd name="T76" fmla="+- 0 2359 50"/>
              <a:gd name="T77" fmla="*/ 2359 h 2369"/>
              <a:gd name="T78" fmla="*/ 4957 w 12246"/>
              <a:gd name="T79" fmla="+- 0 2321 50"/>
              <a:gd name="T80" fmla="*/ 2321 h 2369"/>
              <a:gd name="T81" fmla="*/ 5106 w 12246"/>
              <a:gd name="T82" fmla="+- 0 2273 50"/>
              <a:gd name="T83" fmla="*/ 2273 h 2369"/>
              <a:gd name="T84" fmla="*/ 5252 w 12246"/>
              <a:gd name="T85" fmla="+- 0 2217 50"/>
              <a:gd name="T86" fmla="*/ 2217 h 2369"/>
              <a:gd name="T87" fmla="*/ 5394 w 12246"/>
              <a:gd name="T88" fmla="+- 0 2151 50"/>
              <a:gd name="T89" fmla="*/ 2151 h 2369"/>
              <a:gd name="T90" fmla="*/ 5533 w 12246"/>
              <a:gd name="T91" fmla="+- 0 2076 50"/>
              <a:gd name="T92" fmla="*/ 2076 h 2369"/>
              <a:gd name="T93" fmla="*/ 6288 w 12246"/>
              <a:gd name="T94" fmla="+- 0 1639 50"/>
              <a:gd name="T95" fmla="*/ 1639 h 2369"/>
              <a:gd name="T96" fmla="*/ 6428 w 12246"/>
              <a:gd name="T97" fmla="+- 0 1566 50"/>
              <a:gd name="T98" fmla="*/ 1566 h 2369"/>
              <a:gd name="T99" fmla="*/ 6570 w 12246"/>
              <a:gd name="T100" fmla="+- 0 1501 50"/>
              <a:gd name="T101" fmla="*/ 1501 h 2369"/>
              <a:gd name="T102" fmla="*/ 6716 w 12246"/>
              <a:gd name="T103" fmla="+- 0 1443 50"/>
              <a:gd name="T104" fmla="*/ 1443 h 2369"/>
              <a:gd name="T105" fmla="*/ 6863 w 12246"/>
              <a:gd name="T106" fmla="+- 0 1391 50"/>
              <a:gd name="T107" fmla="*/ 1391 h 2369"/>
              <a:gd name="T108" fmla="*/ 7013 w 12246"/>
              <a:gd name="T109" fmla="+- 0 1347 50"/>
              <a:gd name="T110" fmla="*/ 1347 h 2369"/>
              <a:gd name="T111" fmla="*/ 7165 w 12246"/>
              <a:gd name="T112" fmla="+- 0 1310 50"/>
              <a:gd name="T113" fmla="*/ 1310 h 2369"/>
              <a:gd name="T114" fmla="*/ 7319 w 12246"/>
              <a:gd name="T115" fmla="+- 0 1280 50"/>
              <a:gd name="T116" fmla="*/ 1280 h 2369"/>
              <a:gd name="T117" fmla="*/ 7474 w 12246"/>
              <a:gd name="T118" fmla="+- 0 1258 50"/>
              <a:gd name="T119" fmla="*/ 1258 h 2369"/>
              <a:gd name="T120" fmla="*/ 7630 w 12246"/>
              <a:gd name="T121" fmla="+- 0 1243 50"/>
              <a:gd name="T122" fmla="*/ 1243 h 2369"/>
              <a:gd name="T123" fmla="*/ 7787 w 12246"/>
              <a:gd name="T124" fmla="+- 0 1235 50"/>
              <a:gd name="T125" fmla="*/ 1235 h 2369"/>
              <a:gd name="T126" fmla="*/ 12246 w 12246"/>
              <a:gd name="T127" fmla="+- 0 1234 50"/>
              <a:gd name="T128" fmla="*/ 1234 h 2369"/>
              <a:gd name="T129" fmla="*/ 12246 w 12246"/>
              <a:gd name="T130" fmla="+- 0 50 50"/>
              <a:gd name="T131" fmla="*/ 50 h 2369"/>
              <a:gd name="T132" fmla="*/ 12246 w 12246"/>
              <a:gd name="T133" fmla="+- 0 59 50"/>
              <a:gd name="T134" fmla="*/ 59 h 2369"/>
            </a:gdLst>
            <a:ahLst/>
            <a:cxnLst>
              <a:cxn ang="0">
                <a:pos x="T0" y="T2"/>
              </a:cxn>
              <a:cxn ang="0">
                <a:pos x="T3" y="T5"/>
              </a:cxn>
              <a:cxn ang="0">
                <a:pos x="T6" y="T8"/>
              </a:cxn>
              <a:cxn ang="0">
                <a:pos x="T9" y="T11"/>
              </a:cxn>
              <a:cxn ang="0">
                <a:pos x="T12" y="T14"/>
              </a:cxn>
              <a:cxn ang="0">
                <a:pos x="T15" y="T17"/>
              </a:cxn>
              <a:cxn ang="0">
                <a:pos x="T18" y="T20"/>
              </a:cxn>
              <a:cxn ang="0">
                <a:pos x="T21" y="T23"/>
              </a:cxn>
              <a:cxn ang="0">
                <a:pos x="T24" y="T26"/>
              </a:cxn>
              <a:cxn ang="0">
                <a:pos x="T27" y="T29"/>
              </a:cxn>
              <a:cxn ang="0">
                <a:pos x="T30" y="T32"/>
              </a:cxn>
              <a:cxn ang="0">
                <a:pos x="T33" y="T35"/>
              </a:cxn>
              <a:cxn ang="0">
                <a:pos x="T36" y="T38"/>
              </a:cxn>
              <a:cxn ang="0">
                <a:pos x="T39" y="T41"/>
              </a:cxn>
              <a:cxn ang="0">
                <a:pos x="T42" y="T44"/>
              </a:cxn>
              <a:cxn ang="0">
                <a:pos x="T45" y="T47"/>
              </a:cxn>
              <a:cxn ang="0">
                <a:pos x="T48" y="T50"/>
              </a:cxn>
              <a:cxn ang="0">
                <a:pos x="T51" y="T53"/>
              </a:cxn>
              <a:cxn ang="0">
                <a:pos x="T54" y="T56"/>
              </a:cxn>
              <a:cxn ang="0">
                <a:pos x="T57" y="T59"/>
              </a:cxn>
              <a:cxn ang="0">
                <a:pos x="T60" y="T62"/>
              </a:cxn>
              <a:cxn ang="0">
                <a:pos x="T63" y="T65"/>
              </a:cxn>
              <a:cxn ang="0">
                <a:pos x="T66" y="T68"/>
              </a:cxn>
              <a:cxn ang="0">
                <a:pos x="T69" y="T71"/>
              </a:cxn>
              <a:cxn ang="0">
                <a:pos x="T72" y="T74"/>
              </a:cxn>
              <a:cxn ang="0">
                <a:pos x="T75" y="T77"/>
              </a:cxn>
              <a:cxn ang="0">
                <a:pos x="T78" y="T80"/>
              </a:cxn>
              <a:cxn ang="0">
                <a:pos x="T81" y="T83"/>
              </a:cxn>
              <a:cxn ang="0">
                <a:pos x="T84" y="T86"/>
              </a:cxn>
              <a:cxn ang="0">
                <a:pos x="T87" y="T89"/>
              </a:cxn>
              <a:cxn ang="0">
                <a:pos x="T90" y="T92"/>
              </a:cxn>
              <a:cxn ang="0">
                <a:pos x="T93" y="T95"/>
              </a:cxn>
              <a:cxn ang="0">
                <a:pos x="T96" y="T98"/>
              </a:cxn>
              <a:cxn ang="0">
                <a:pos x="T99" y="T101"/>
              </a:cxn>
              <a:cxn ang="0">
                <a:pos x="T102" y="T104"/>
              </a:cxn>
              <a:cxn ang="0">
                <a:pos x="T105" y="T107"/>
              </a:cxn>
              <a:cxn ang="0">
                <a:pos x="T108" y="T110"/>
              </a:cxn>
              <a:cxn ang="0">
                <a:pos x="T111" y="T113"/>
              </a:cxn>
              <a:cxn ang="0">
                <a:pos x="T114" y="T116"/>
              </a:cxn>
              <a:cxn ang="0">
                <a:pos x="T117" y="T119"/>
              </a:cxn>
              <a:cxn ang="0">
                <a:pos x="T120" y="T122"/>
              </a:cxn>
              <a:cxn ang="0">
                <a:pos x="T123" y="T125"/>
              </a:cxn>
              <a:cxn ang="0">
                <a:pos x="T126" y="T128"/>
              </a:cxn>
              <a:cxn ang="0">
                <a:pos x="T129" y="T131"/>
              </a:cxn>
              <a:cxn ang="0">
                <a:pos x="T132" y="T134"/>
              </a:cxn>
            </a:cxnLst>
            <a:rect l="0" t="0" r="r" b="b"/>
            <a:pathLst>
              <a:path w="12246" h="2369">
                <a:moveTo>
                  <a:pt x="12246" y="992"/>
                </a:moveTo>
                <a:lnTo>
                  <a:pt x="7695" y="992"/>
                </a:lnTo>
                <a:lnTo>
                  <a:pt x="7617" y="993"/>
                </a:lnTo>
                <a:lnTo>
                  <a:pt x="7538" y="996"/>
                </a:lnTo>
                <a:lnTo>
                  <a:pt x="7460" y="1001"/>
                </a:lnTo>
                <a:lnTo>
                  <a:pt x="7381" y="1007"/>
                </a:lnTo>
                <a:lnTo>
                  <a:pt x="7303" y="1016"/>
                </a:lnTo>
                <a:lnTo>
                  <a:pt x="7226" y="1026"/>
                </a:lnTo>
                <a:lnTo>
                  <a:pt x="7148" y="1038"/>
                </a:lnTo>
                <a:lnTo>
                  <a:pt x="7072" y="1052"/>
                </a:lnTo>
                <a:lnTo>
                  <a:pt x="6995" y="1068"/>
                </a:lnTo>
                <a:lnTo>
                  <a:pt x="6919" y="1086"/>
                </a:lnTo>
                <a:lnTo>
                  <a:pt x="6843" y="1105"/>
                </a:lnTo>
                <a:lnTo>
                  <a:pt x="6768" y="1126"/>
                </a:lnTo>
                <a:lnTo>
                  <a:pt x="6693" y="1149"/>
                </a:lnTo>
                <a:lnTo>
                  <a:pt x="6619" y="1174"/>
                </a:lnTo>
                <a:lnTo>
                  <a:pt x="6545" y="1201"/>
                </a:lnTo>
                <a:lnTo>
                  <a:pt x="6473" y="1229"/>
                </a:lnTo>
                <a:lnTo>
                  <a:pt x="6400" y="1259"/>
                </a:lnTo>
                <a:lnTo>
                  <a:pt x="6329" y="1291"/>
                </a:lnTo>
                <a:lnTo>
                  <a:pt x="6258" y="1324"/>
                </a:lnTo>
                <a:lnTo>
                  <a:pt x="6188" y="1360"/>
                </a:lnTo>
                <a:lnTo>
                  <a:pt x="6118" y="1397"/>
                </a:lnTo>
                <a:lnTo>
                  <a:pt x="6050" y="1435"/>
                </a:lnTo>
                <a:lnTo>
                  <a:pt x="5363" y="1834"/>
                </a:lnTo>
                <a:lnTo>
                  <a:pt x="5294" y="1873"/>
                </a:lnTo>
                <a:lnTo>
                  <a:pt x="5224" y="1909"/>
                </a:lnTo>
                <a:lnTo>
                  <a:pt x="5154" y="1943"/>
                </a:lnTo>
                <a:lnTo>
                  <a:pt x="5082" y="1975"/>
                </a:lnTo>
                <a:lnTo>
                  <a:pt x="5009" y="2004"/>
                </a:lnTo>
                <a:lnTo>
                  <a:pt x="4936" y="2031"/>
                </a:lnTo>
                <a:lnTo>
                  <a:pt x="4862" y="2056"/>
                </a:lnTo>
                <a:lnTo>
                  <a:pt x="4787" y="2079"/>
                </a:lnTo>
                <a:lnTo>
                  <a:pt x="4712" y="2099"/>
                </a:lnTo>
                <a:lnTo>
                  <a:pt x="4635" y="2117"/>
                </a:lnTo>
                <a:lnTo>
                  <a:pt x="4559" y="2133"/>
                </a:lnTo>
                <a:lnTo>
                  <a:pt x="4482" y="2146"/>
                </a:lnTo>
                <a:lnTo>
                  <a:pt x="4404" y="2157"/>
                </a:lnTo>
                <a:lnTo>
                  <a:pt x="4326" y="2166"/>
                </a:lnTo>
                <a:lnTo>
                  <a:pt x="4248" y="2172"/>
                </a:lnTo>
                <a:lnTo>
                  <a:pt x="4169" y="2175"/>
                </a:lnTo>
                <a:lnTo>
                  <a:pt x="4091" y="2177"/>
                </a:lnTo>
                <a:lnTo>
                  <a:pt x="0" y="2177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992"/>
                </a:lnTo>
                <a:moveTo>
                  <a:pt x="12246" y="0"/>
                </a:moveTo>
                <a:lnTo>
                  <a:pt x="12238" y="0"/>
                </a:lnTo>
                <a:lnTo>
                  <a:pt x="12246" y="9"/>
                </a:lnTo>
                <a:lnTo>
                  <a:pt x="12246" y="0"/>
                </a:lnTo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7" name="AutoShape 30">
            <a:extLst>
              <a:ext uri="{FF2B5EF4-FFF2-40B4-BE49-F238E27FC236}">
                <a16:creationId xmlns:a16="http://schemas.microsoft.com/office/drawing/2014/main" id="{AB8F44C0-57FA-4B40-885C-33C19636AA96}"/>
              </a:ext>
            </a:extLst>
          </xdr:cNvPr>
          <xdr:cNvSpPr>
            <a:spLocks/>
          </xdr:cNvSpPr>
        </xdr:nvSpPr>
        <xdr:spPr bwMode="auto">
          <a:xfrm>
            <a:off x="759" y="759"/>
            <a:ext cx="3046" cy="850"/>
          </a:xfrm>
          <a:custGeom>
            <a:avLst/>
            <a:gdLst>
              <a:gd name="T0" fmla="+- 0 2906 760"/>
              <a:gd name="T1" fmla="*/ T0 w 3046"/>
              <a:gd name="T2" fmla="+- 0 1248 760"/>
              <a:gd name="T3" fmla="*/ 1248 h 850"/>
              <a:gd name="T4" fmla="+- 0 2822 760"/>
              <a:gd name="T5" fmla="*/ T4 w 3046"/>
              <a:gd name="T6" fmla="+- 0 1166 760"/>
              <a:gd name="T7" fmla="*/ 1166 h 850"/>
              <a:gd name="T8" fmla="+- 0 2829 760"/>
              <a:gd name="T9" fmla="*/ T8 w 3046"/>
              <a:gd name="T10" fmla="+- 0 1140 760"/>
              <a:gd name="T11" fmla="*/ 1140 h 850"/>
              <a:gd name="T12" fmla="+- 0 2868 760"/>
              <a:gd name="T13" fmla="*/ T12 w 3046"/>
              <a:gd name="T14" fmla="+- 0 1108 760"/>
              <a:gd name="T15" fmla="*/ 1108 h 850"/>
              <a:gd name="T16" fmla="+- 0 2897 760"/>
              <a:gd name="T17" fmla="*/ T16 w 3046"/>
              <a:gd name="T18" fmla="+- 0 1061 760"/>
              <a:gd name="T19" fmla="*/ 1061 h 850"/>
              <a:gd name="T20" fmla="+- 0 2911 760"/>
              <a:gd name="T21" fmla="*/ T20 w 3046"/>
              <a:gd name="T22" fmla="+- 0 996 760"/>
              <a:gd name="T23" fmla="*/ 996 h 850"/>
              <a:gd name="T24" fmla="+- 0 2901 760"/>
              <a:gd name="T25" fmla="*/ T24 w 3046"/>
              <a:gd name="T26" fmla="+- 0 906 760"/>
              <a:gd name="T27" fmla="*/ 906 h 850"/>
              <a:gd name="T28" fmla="+- 0 2868 760"/>
              <a:gd name="T29" fmla="*/ T28 w 3046"/>
              <a:gd name="T30" fmla="+- 0 845 760"/>
              <a:gd name="T31" fmla="*/ 845 h 850"/>
              <a:gd name="T32" fmla="+- 0 2797 760"/>
              <a:gd name="T33" fmla="*/ T32 w 3046"/>
              <a:gd name="T34" fmla="+- 0 791 760"/>
              <a:gd name="T35" fmla="*/ 791 h 850"/>
              <a:gd name="T36" fmla="+- 0 2774 760"/>
              <a:gd name="T37" fmla="*/ T36 w 3046"/>
              <a:gd name="T38" fmla="+- 0 1370 760"/>
              <a:gd name="T39" fmla="*/ 1370 h 850"/>
              <a:gd name="T40" fmla="+- 0 2748 760"/>
              <a:gd name="T41" fmla="*/ T40 w 3046"/>
              <a:gd name="T42" fmla="+- 0 1412 760"/>
              <a:gd name="T43" fmla="*/ 1412 h 850"/>
              <a:gd name="T44" fmla="+- 0 2700 760"/>
              <a:gd name="T45" fmla="*/ T44 w 3046"/>
              <a:gd name="T46" fmla="+- 0 1439 760"/>
              <a:gd name="T47" fmla="*/ 1439 h 850"/>
              <a:gd name="T48" fmla="+- 0 2634 760"/>
              <a:gd name="T49" fmla="*/ T48 w 3046"/>
              <a:gd name="T50" fmla="+- 0 1451 760"/>
              <a:gd name="T51" fmla="*/ 1451 h 850"/>
              <a:gd name="T52" fmla="+- 0 2173 760"/>
              <a:gd name="T53" fmla="*/ T52 w 3046"/>
              <a:gd name="T54" fmla="+- 0 906 760"/>
              <a:gd name="T55" fmla="*/ 906 h 850"/>
              <a:gd name="T56" fmla="+- 0 2641 760"/>
              <a:gd name="T57" fmla="*/ T56 w 3046"/>
              <a:gd name="T58" fmla="+- 0 908 760"/>
              <a:gd name="T59" fmla="*/ 908 h 850"/>
              <a:gd name="T60" fmla="+- 0 2701 760"/>
              <a:gd name="T61" fmla="*/ T60 w 3046"/>
              <a:gd name="T62" fmla="+- 0 919 760"/>
              <a:gd name="T63" fmla="*/ 919 h 850"/>
              <a:gd name="T64" fmla="+- 0 2743 760"/>
              <a:gd name="T65" fmla="*/ T64 w 3046"/>
              <a:gd name="T66" fmla="+- 0 946 760"/>
              <a:gd name="T67" fmla="*/ 946 h 850"/>
              <a:gd name="T68" fmla="+- 0 2762 760"/>
              <a:gd name="T69" fmla="*/ T68 w 3046"/>
              <a:gd name="T70" fmla="+- 0 993 760"/>
              <a:gd name="T71" fmla="*/ 993 h 850"/>
              <a:gd name="T72" fmla="+- 0 2746 760"/>
              <a:gd name="T73" fmla="*/ T72 w 3046"/>
              <a:gd name="T74" fmla="+- 0 1074 760"/>
              <a:gd name="T75" fmla="*/ 1074 h 850"/>
              <a:gd name="T76" fmla="+- 0 2670 760"/>
              <a:gd name="T77" fmla="*/ T76 w 3046"/>
              <a:gd name="T78" fmla="+- 0 1109 760"/>
              <a:gd name="T79" fmla="*/ 1109 h 850"/>
              <a:gd name="T80" fmla="+- 0 2651 760"/>
              <a:gd name="T81" fmla="*/ T80 w 3046"/>
              <a:gd name="T82" fmla="+- 0 1233 760"/>
              <a:gd name="T83" fmla="*/ 1233 h 850"/>
              <a:gd name="T84" fmla="+- 0 2745 760"/>
              <a:gd name="T85" fmla="*/ T84 w 3046"/>
              <a:gd name="T86" fmla="+- 0 1261 760"/>
              <a:gd name="T87" fmla="*/ 1261 h 850"/>
              <a:gd name="T88" fmla="+- 0 2778 760"/>
              <a:gd name="T89" fmla="*/ T88 w 3046"/>
              <a:gd name="T90" fmla="+- 0 1341 760"/>
              <a:gd name="T91" fmla="*/ 1341 h 850"/>
              <a:gd name="T92" fmla="+- 0 2725 760"/>
              <a:gd name="T93" fmla="*/ T92 w 3046"/>
              <a:gd name="T94" fmla="+- 0 767 760"/>
              <a:gd name="T95" fmla="*/ 767 h 850"/>
              <a:gd name="T96" fmla="+- 0 2187 760"/>
              <a:gd name="T97" fmla="*/ T96 w 3046"/>
              <a:gd name="T98" fmla="+- 0 760 760"/>
              <a:gd name="T99" fmla="*/ 760 h 850"/>
              <a:gd name="T100" fmla="+- 0 1639 760"/>
              <a:gd name="T101" fmla="*/ T100 w 3046"/>
              <a:gd name="T102" fmla="+- 0 1317 760"/>
              <a:gd name="T103" fmla="*/ 1317 h 850"/>
              <a:gd name="T104" fmla="+- 0 1274 760"/>
              <a:gd name="T105" fmla="*/ T104 w 3046"/>
              <a:gd name="T106" fmla="+- 0 1404 760"/>
              <a:gd name="T107" fmla="*/ 1404 h 850"/>
              <a:gd name="T108" fmla="+- 0 1207 760"/>
              <a:gd name="T109" fmla="*/ T108 w 3046"/>
              <a:gd name="T110" fmla="+- 0 1583 760"/>
              <a:gd name="T111" fmla="*/ 1583 h 850"/>
              <a:gd name="T112" fmla="+- 0 1280 760"/>
              <a:gd name="T113" fmla="*/ T112 w 3046"/>
              <a:gd name="T114" fmla="+- 0 1608 760"/>
              <a:gd name="T115" fmla="*/ 1608 h 850"/>
              <a:gd name="T116" fmla="+- 0 1321 760"/>
              <a:gd name="T117" fmla="*/ T116 w 3046"/>
              <a:gd name="T118" fmla="+- 0 1591 760"/>
              <a:gd name="T119" fmla="*/ 1591 h 850"/>
              <a:gd name="T120" fmla="+- 0 1428 760"/>
              <a:gd name="T121" fmla="*/ T120 w 3046"/>
              <a:gd name="T122" fmla="+- 0 1404 760"/>
              <a:gd name="T123" fmla="*/ 1404 h 850"/>
              <a:gd name="T124" fmla="+- 0 1618 760"/>
              <a:gd name="T125" fmla="*/ T124 w 3046"/>
              <a:gd name="T126" fmla="+- 0 1583 760"/>
              <a:gd name="T127" fmla="*/ 1583 h 850"/>
              <a:gd name="T128" fmla="+- 0 1656 760"/>
              <a:gd name="T129" fmla="*/ T128 w 3046"/>
              <a:gd name="T130" fmla="+- 0 1606 760"/>
              <a:gd name="T131" fmla="*/ 1606 h 850"/>
              <a:gd name="T132" fmla="+- 0 1700 760"/>
              <a:gd name="T133" fmla="*/ T132 w 3046"/>
              <a:gd name="T134" fmla="+- 0 1606 760"/>
              <a:gd name="T135" fmla="*/ 1606 h 850"/>
              <a:gd name="T136" fmla="+- 0 1739 760"/>
              <a:gd name="T137" fmla="*/ T136 w 3046"/>
              <a:gd name="T138" fmla="+- 0 1583 760"/>
              <a:gd name="T139" fmla="*/ 1583 h 850"/>
              <a:gd name="T140" fmla="+- 0 2027 760"/>
              <a:gd name="T141" fmla="*/ T140 w 3046"/>
              <a:gd name="T142" fmla="+- 0 1057 760"/>
              <a:gd name="T143" fmla="*/ 1057 h 850"/>
              <a:gd name="T144" fmla="+- 0 2715 760"/>
              <a:gd name="T145" fmla="*/ T144 w 3046"/>
              <a:gd name="T146" fmla="+- 0 1593 760"/>
              <a:gd name="T147" fmla="*/ 1593 h 850"/>
              <a:gd name="T148" fmla="+- 0 2814 760"/>
              <a:gd name="T149" fmla="*/ T148 w 3046"/>
              <a:gd name="T150" fmla="+- 0 1558 760"/>
              <a:gd name="T151" fmla="*/ 1558 h 850"/>
              <a:gd name="T152" fmla="+- 0 2884 760"/>
              <a:gd name="T153" fmla="*/ T152 w 3046"/>
              <a:gd name="T154" fmla="+- 0 1492 760"/>
              <a:gd name="T155" fmla="*/ 1492 h 850"/>
              <a:gd name="T156" fmla="+- 0 2915 760"/>
              <a:gd name="T157" fmla="*/ T156 w 3046"/>
              <a:gd name="T158" fmla="+- 0 1424 760"/>
              <a:gd name="T159" fmla="*/ 1424 h 850"/>
              <a:gd name="T160" fmla="+- 0 3516 760"/>
              <a:gd name="T161" fmla="*/ T160 w 3046"/>
              <a:gd name="T162" fmla="+- 0 818 760"/>
              <a:gd name="T163" fmla="*/ 818 h 850"/>
              <a:gd name="T164" fmla="+- 0 3253 760"/>
              <a:gd name="T165" fmla="*/ T164 w 3046"/>
              <a:gd name="T166" fmla="+- 0 818 760"/>
              <a:gd name="T167" fmla="*/ 818 h 850"/>
              <a:gd name="T168" fmla="+- 0 3119 760"/>
              <a:gd name="T169" fmla="*/ T168 w 3046"/>
              <a:gd name="T170" fmla="+- 0 818 760"/>
              <a:gd name="T171" fmla="*/ 818 h 850"/>
              <a:gd name="T172" fmla="+- 0 3214 760"/>
              <a:gd name="T173" fmla="*/ T172 w 3046"/>
              <a:gd name="T174" fmla="+- 0 1088 760"/>
              <a:gd name="T175" fmla="*/ 1088 h 850"/>
              <a:gd name="T176" fmla="+- 0 3242 760"/>
              <a:gd name="T177" fmla="*/ T176 w 3046"/>
              <a:gd name="T178" fmla="+- 0 1082 760"/>
              <a:gd name="T179" fmla="*/ 1082 h 850"/>
              <a:gd name="T180" fmla="+- 0 3290 760"/>
              <a:gd name="T181" fmla="*/ T180 w 3046"/>
              <a:gd name="T182" fmla="+- 0 995 760"/>
              <a:gd name="T183" fmla="*/ 995 h 850"/>
              <a:gd name="T184" fmla="+- 0 3350 760"/>
              <a:gd name="T185" fmla="*/ T184 w 3046"/>
              <a:gd name="T186" fmla="+- 0 1088 760"/>
              <a:gd name="T187" fmla="*/ 1088 h 850"/>
              <a:gd name="T188" fmla="+- 0 3376 760"/>
              <a:gd name="T189" fmla="*/ T188 w 3046"/>
              <a:gd name="T190" fmla="+- 0 1078 760"/>
              <a:gd name="T191" fmla="*/ 1078 h 850"/>
              <a:gd name="T192" fmla="+- 0 3759 760"/>
              <a:gd name="T193" fmla="*/ T192 w 3046"/>
              <a:gd name="T194" fmla="+- 0 969 760"/>
              <a:gd name="T195" fmla="*/ 969 h 8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3046" h="850">
                <a:moveTo>
                  <a:pt x="2166" y="584"/>
                </a:moveTo>
                <a:lnTo>
                  <a:pt x="2164" y="549"/>
                </a:lnTo>
                <a:lnTo>
                  <a:pt x="2157" y="517"/>
                </a:lnTo>
                <a:lnTo>
                  <a:pt x="2146" y="488"/>
                </a:lnTo>
                <a:lnTo>
                  <a:pt x="2129" y="462"/>
                </a:lnTo>
                <a:lnTo>
                  <a:pt x="2110" y="440"/>
                </a:lnTo>
                <a:lnTo>
                  <a:pt x="2087" y="421"/>
                </a:lnTo>
                <a:lnTo>
                  <a:pt x="2062" y="406"/>
                </a:lnTo>
                <a:lnTo>
                  <a:pt x="2035" y="395"/>
                </a:lnTo>
                <a:lnTo>
                  <a:pt x="2046" y="391"/>
                </a:lnTo>
                <a:lnTo>
                  <a:pt x="2058" y="386"/>
                </a:lnTo>
                <a:lnTo>
                  <a:pt x="2069" y="380"/>
                </a:lnTo>
                <a:lnTo>
                  <a:pt x="2079" y="374"/>
                </a:lnTo>
                <a:lnTo>
                  <a:pt x="2090" y="366"/>
                </a:lnTo>
                <a:lnTo>
                  <a:pt x="2099" y="358"/>
                </a:lnTo>
                <a:lnTo>
                  <a:pt x="2108" y="348"/>
                </a:lnTo>
                <a:lnTo>
                  <a:pt x="2117" y="338"/>
                </a:lnTo>
                <a:lnTo>
                  <a:pt x="2124" y="327"/>
                </a:lnTo>
                <a:lnTo>
                  <a:pt x="2131" y="314"/>
                </a:lnTo>
                <a:lnTo>
                  <a:pt x="2137" y="301"/>
                </a:lnTo>
                <a:lnTo>
                  <a:pt x="2142" y="287"/>
                </a:lnTo>
                <a:lnTo>
                  <a:pt x="2146" y="271"/>
                </a:lnTo>
                <a:lnTo>
                  <a:pt x="2149" y="254"/>
                </a:lnTo>
                <a:lnTo>
                  <a:pt x="2151" y="236"/>
                </a:lnTo>
                <a:lnTo>
                  <a:pt x="2151" y="216"/>
                </a:lnTo>
                <a:lnTo>
                  <a:pt x="2150" y="191"/>
                </a:lnTo>
                <a:lnTo>
                  <a:pt x="2146" y="166"/>
                </a:lnTo>
                <a:lnTo>
                  <a:pt x="2141" y="146"/>
                </a:lnTo>
                <a:lnTo>
                  <a:pt x="2140" y="144"/>
                </a:lnTo>
                <a:lnTo>
                  <a:pt x="2132" y="122"/>
                </a:lnTo>
                <a:lnTo>
                  <a:pt x="2121" y="103"/>
                </a:lnTo>
                <a:lnTo>
                  <a:pt x="2108" y="85"/>
                </a:lnTo>
                <a:lnTo>
                  <a:pt x="2093" y="69"/>
                </a:lnTo>
                <a:lnTo>
                  <a:pt x="2077" y="54"/>
                </a:lnTo>
                <a:lnTo>
                  <a:pt x="2058" y="42"/>
                </a:lnTo>
                <a:lnTo>
                  <a:pt x="2037" y="31"/>
                </a:lnTo>
                <a:lnTo>
                  <a:pt x="2018" y="22"/>
                </a:lnTo>
                <a:lnTo>
                  <a:pt x="2018" y="581"/>
                </a:lnTo>
                <a:lnTo>
                  <a:pt x="2017" y="596"/>
                </a:lnTo>
                <a:lnTo>
                  <a:pt x="2014" y="610"/>
                </a:lnTo>
                <a:lnTo>
                  <a:pt x="2010" y="622"/>
                </a:lnTo>
                <a:lnTo>
                  <a:pt x="2004" y="633"/>
                </a:lnTo>
                <a:lnTo>
                  <a:pt x="1997" y="643"/>
                </a:lnTo>
                <a:lnTo>
                  <a:pt x="1988" y="652"/>
                </a:lnTo>
                <a:lnTo>
                  <a:pt x="1978" y="660"/>
                </a:lnTo>
                <a:lnTo>
                  <a:pt x="1967" y="667"/>
                </a:lnTo>
                <a:lnTo>
                  <a:pt x="1954" y="673"/>
                </a:lnTo>
                <a:lnTo>
                  <a:pt x="1940" y="679"/>
                </a:lnTo>
                <a:lnTo>
                  <a:pt x="1925" y="683"/>
                </a:lnTo>
                <a:lnTo>
                  <a:pt x="1909" y="686"/>
                </a:lnTo>
                <a:lnTo>
                  <a:pt x="1892" y="689"/>
                </a:lnTo>
                <a:lnTo>
                  <a:pt x="1874" y="691"/>
                </a:lnTo>
                <a:lnTo>
                  <a:pt x="1856" y="692"/>
                </a:lnTo>
                <a:lnTo>
                  <a:pt x="1837" y="692"/>
                </a:lnTo>
                <a:lnTo>
                  <a:pt x="1413" y="692"/>
                </a:lnTo>
                <a:lnTo>
                  <a:pt x="1413" y="146"/>
                </a:lnTo>
                <a:lnTo>
                  <a:pt x="1824" y="146"/>
                </a:lnTo>
                <a:lnTo>
                  <a:pt x="1844" y="146"/>
                </a:lnTo>
                <a:lnTo>
                  <a:pt x="1863" y="147"/>
                </a:lnTo>
                <a:lnTo>
                  <a:pt x="1881" y="148"/>
                </a:lnTo>
                <a:lnTo>
                  <a:pt x="1897" y="149"/>
                </a:lnTo>
                <a:lnTo>
                  <a:pt x="1913" y="152"/>
                </a:lnTo>
                <a:lnTo>
                  <a:pt x="1928" y="155"/>
                </a:lnTo>
                <a:lnTo>
                  <a:pt x="1941" y="159"/>
                </a:lnTo>
                <a:lnTo>
                  <a:pt x="1954" y="164"/>
                </a:lnTo>
                <a:lnTo>
                  <a:pt x="1965" y="170"/>
                </a:lnTo>
                <a:lnTo>
                  <a:pt x="1975" y="177"/>
                </a:lnTo>
                <a:lnTo>
                  <a:pt x="1983" y="186"/>
                </a:lnTo>
                <a:lnTo>
                  <a:pt x="1990" y="195"/>
                </a:lnTo>
                <a:lnTo>
                  <a:pt x="1996" y="206"/>
                </a:lnTo>
                <a:lnTo>
                  <a:pt x="2000" y="219"/>
                </a:lnTo>
                <a:lnTo>
                  <a:pt x="2002" y="233"/>
                </a:lnTo>
                <a:lnTo>
                  <a:pt x="2003" y="249"/>
                </a:lnTo>
                <a:lnTo>
                  <a:pt x="2001" y="274"/>
                </a:lnTo>
                <a:lnTo>
                  <a:pt x="1995" y="296"/>
                </a:lnTo>
                <a:lnTo>
                  <a:pt x="1986" y="314"/>
                </a:lnTo>
                <a:lnTo>
                  <a:pt x="1973" y="327"/>
                </a:lnTo>
                <a:lnTo>
                  <a:pt x="1956" y="337"/>
                </a:lnTo>
                <a:lnTo>
                  <a:pt x="1935" y="344"/>
                </a:lnTo>
                <a:lnTo>
                  <a:pt x="1910" y="349"/>
                </a:lnTo>
                <a:lnTo>
                  <a:pt x="1881" y="350"/>
                </a:lnTo>
                <a:lnTo>
                  <a:pt x="1519" y="350"/>
                </a:lnTo>
                <a:lnTo>
                  <a:pt x="1519" y="473"/>
                </a:lnTo>
                <a:lnTo>
                  <a:pt x="1891" y="473"/>
                </a:lnTo>
                <a:lnTo>
                  <a:pt x="1920" y="475"/>
                </a:lnTo>
                <a:lnTo>
                  <a:pt x="1946" y="480"/>
                </a:lnTo>
                <a:lnTo>
                  <a:pt x="1967" y="489"/>
                </a:lnTo>
                <a:lnTo>
                  <a:pt x="1985" y="501"/>
                </a:lnTo>
                <a:lnTo>
                  <a:pt x="1999" y="517"/>
                </a:lnTo>
                <a:lnTo>
                  <a:pt x="2010" y="536"/>
                </a:lnTo>
                <a:lnTo>
                  <a:pt x="2016" y="557"/>
                </a:lnTo>
                <a:lnTo>
                  <a:pt x="2018" y="581"/>
                </a:lnTo>
                <a:lnTo>
                  <a:pt x="2018" y="22"/>
                </a:lnTo>
                <a:lnTo>
                  <a:pt x="2015" y="21"/>
                </a:lnTo>
                <a:lnTo>
                  <a:pt x="1991" y="13"/>
                </a:lnTo>
                <a:lnTo>
                  <a:pt x="1965" y="7"/>
                </a:lnTo>
                <a:lnTo>
                  <a:pt x="1938" y="3"/>
                </a:lnTo>
                <a:lnTo>
                  <a:pt x="1909" y="1"/>
                </a:lnTo>
                <a:lnTo>
                  <a:pt x="1880" y="0"/>
                </a:lnTo>
                <a:lnTo>
                  <a:pt x="1427" y="0"/>
                </a:lnTo>
                <a:lnTo>
                  <a:pt x="1264" y="0"/>
                </a:lnTo>
                <a:lnTo>
                  <a:pt x="923" y="644"/>
                </a:lnTo>
                <a:lnTo>
                  <a:pt x="879" y="557"/>
                </a:lnTo>
                <a:lnTo>
                  <a:pt x="599" y="0"/>
                </a:lnTo>
                <a:lnTo>
                  <a:pt x="423" y="0"/>
                </a:lnTo>
                <a:lnTo>
                  <a:pt x="640" y="415"/>
                </a:lnTo>
                <a:lnTo>
                  <a:pt x="514" y="644"/>
                </a:lnTo>
                <a:lnTo>
                  <a:pt x="175" y="0"/>
                </a:lnTo>
                <a:lnTo>
                  <a:pt x="0" y="0"/>
                </a:lnTo>
                <a:lnTo>
                  <a:pt x="433" y="803"/>
                </a:lnTo>
                <a:lnTo>
                  <a:pt x="447" y="823"/>
                </a:lnTo>
                <a:lnTo>
                  <a:pt x="465" y="837"/>
                </a:lnTo>
                <a:lnTo>
                  <a:pt x="485" y="846"/>
                </a:lnTo>
                <a:lnTo>
                  <a:pt x="509" y="849"/>
                </a:lnTo>
                <a:lnTo>
                  <a:pt x="520" y="848"/>
                </a:lnTo>
                <a:lnTo>
                  <a:pt x="531" y="846"/>
                </a:lnTo>
                <a:lnTo>
                  <a:pt x="542" y="842"/>
                </a:lnTo>
                <a:lnTo>
                  <a:pt x="552" y="837"/>
                </a:lnTo>
                <a:lnTo>
                  <a:pt x="561" y="831"/>
                </a:lnTo>
                <a:lnTo>
                  <a:pt x="569" y="823"/>
                </a:lnTo>
                <a:lnTo>
                  <a:pt x="577" y="813"/>
                </a:lnTo>
                <a:lnTo>
                  <a:pt x="584" y="803"/>
                </a:lnTo>
                <a:lnTo>
                  <a:pt x="668" y="644"/>
                </a:lnTo>
                <a:lnTo>
                  <a:pt x="714" y="557"/>
                </a:lnTo>
                <a:lnTo>
                  <a:pt x="843" y="803"/>
                </a:lnTo>
                <a:lnTo>
                  <a:pt x="850" y="814"/>
                </a:lnTo>
                <a:lnTo>
                  <a:pt x="858" y="823"/>
                </a:lnTo>
                <a:lnTo>
                  <a:pt x="866" y="831"/>
                </a:lnTo>
                <a:lnTo>
                  <a:pt x="875" y="837"/>
                </a:lnTo>
                <a:lnTo>
                  <a:pt x="885" y="842"/>
                </a:lnTo>
                <a:lnTo>
                  <a:pt x="896" y="846"/>
                </a:lnTo>
                <a:lnTo>
                  <a:pt x="907" y="848"/>
                </a:lnTo>
                <a:lnTo>
                  <a:pt x="918" y="849"/>
                </a:lnTo>
                <a:lnTo>
                  <a:pt x="929" y="848"/>
                </a:lnTo>
                <a:lnTo>
                  <a:pt x="940" y="846"/>
                </a:lnTo>
                <a:lnTo>
                  <a:pt x="951" y="842"/>
                </a:lnTo>
                <a:lnTo>
                  <a:pt x="961" y="837"/>
                </a:lnTo>
                <a:lnTo>
                  <a:pt x="971" y="831"/>
                </a:lnTo>
                <a:lnTo>
                  <a:pt x="979" y="823"/>
                </a:lnTo>
                <a:lnTo>
                  <a:pt x="987" y="813"/>
                </a:lnTo>
                <a:lnTo>
                  <a:pt x="994" y="803"/>
                </a:lnTo>
                <a:lnTo>
                  <a:pt x="1080" y="644"/>
                </a:lnTo>
                <a:lnTo>
                  <a:pt x="1267" y="297"/>
                </a:lnTo>
                <a:lnTo>
                  <a:pt x="1267" y="837"/>
                </a:lnTo>
                <a:lnTo>
                  <a:pt x="1897" y="837"/>
                </a:lnTo>
                <a:lnTo>
                  <a:pt x="1926" y="836"/>
                </a:lnTo>
                <a:lnTo>
                  <a:pt x="1955" y="833"/>
                </a:lnTo>
                <a:lnTo>
                  <a:pt x="1982" y="827"/>
                </a:lnTo>
                <a:lnTo>
                  <a:pt x="2008" y="819"/>
                </a:lnTo>
                <a:lnTo>
                  <a:pt x="2032" y="810"/>
                </a:lnTo>
                <a:lnTo>
                  <a:pt x="2054" y="798"/>
                </a:lnTo>
                <a:lnTo>
                  <a:pt x="2074" y="784"/>
                </a:lnTo>
                <a:lnTo>
                  <a:pt x="2093" y="768"/>
                </a:lnTo>
                <a:lnTo>
                  <a:pt x="2110" y="751"/>
                </a:lnTo>
                <a:lnTo>
                  <a:pt x="2124" y="732"/>
                </a:lnTo>
                <a:lnTo>
                  <a:pt x="2137" y="711"/>
                </a:lnTo>
                <a:lnTo>
                  <a:pt x="2145" y="692"/>
                </a:lnTo>
                <a:lnTo>
                  <a:pt x="2147" y="688"/>
                </a:lnTo>
                <a:lnTo>
                  <a:pt x="2155" y="664"/>
                </a:lnTo>
                <a:lnTo>
                  <a:pt x="2161" y="639"/>
                </a:lnTo>
                <a:lnTo>
                  <a:pt x="2165" y="612"/>
                </a:lnTo>
                <a:lnTo>
                  <a:pt x="2166" y="584"/>
                </a:lnTo>
                <a:moveTo>
                  <a:pt x="2756" y="58"/>
                </a:moveTo>
                <a:lnTo>
                  <a:pt x="2704" y="58"/>
                </a:lnTo>
                <a:lnTo>
                  <a:pt x="2596" y="262"/>
                </a:lnTo>
                <a:lnTo>
                  <a:pt x="2582" y="235"/>
                </a:lnTo>
                <a:lnTo>
                  <a:pt x="2493" y="58"/>
                </a:lnTo>
                <a:lnTo>
                  <a:pt x="2437" y="58"/>
                </a:lnTo>
                <a:lnTo>
                  <a:pt x="2506" y="190"/>
                </a:lnTo>
                <a:lnTo>
                  <a:pt x="2466" y="262"/>
                </a:lnTo>
                <a:lnTo>
                  <a:pt x="2359" y="58"/>
                </a:lnTo>
                <a:lnTo>
                  <a:pt x="2303" y="58"/>
                </a:lnTo>
                <a:lnTo>
                  <a:pt x="2440" y="313"/>
                </a:lnTo>
                <a:lnTo>
                  <a:pt x="2446" y="323"/>
                </a:lnTo>
                <a:lnTo>
                  <a:pt x="2454" y="328"/>
                </a:lnTo>
                <a:lnTo>
                  <a:pt x="2470" y="328"/>
                </a:lnTo>
                <a:lnTo>
                  <a:pt x="2474" y="326"/>
                </a:lnTo>
                <a:lnTo>
                  <a:pt x="2478" y="324"/>
                </a:lnTo>
                <a:lnTo>
                  <a:pt x="2482" y="322"/>
                </a:lnTo>
                <a:lnTo>
                  <a:pt x="2486" y="318"/>
                </a:lnTo>
                <a:lnTo>
                  <a:pt x="2488" y="313"/>
                </a:lnTo>
                <a:lnTo>
                  <a:pt x="2515" y="262"/>
                </a:lnTo>
                <a:lnTo>
                  <a:pt x="2530" y="235"/>
                </a:lnTo>
                <a:lnTo>
                  <a:pt x="2573" y="318"/>
                </a:lnTo>
                <a:lnTo>
                  <a:pt x="2577" y="322"/>
                </a:lnTo>
                <a:lnTo>
                  <a:pt x="2585" y="326"/>
                </a:lnTo>
                <a:lnTo>
                  <a:pt x="2590" y="328"/>
                </a:lnTo>
                <a:lnTo>
                  <a:pt x="2599" y="328"/>
                </a:lnTo>
                <a:lnTo>
                  <a:pt x="2604" y="326"/>
                </a:lnTo>
                <a:lnTo>
                  <a:pt x="2612" y="322"/>
                </a:lnTo>
                <a:lnTo>
                  <a:pt x="2616" y="318"/>
                </a:lnTo>
                <a:lnTo>
                  <a:pt x="2646" y="262"/>
                </a:lnTo>
                <a:lnTo>
                  <a:pt x="2756" y="58"/>
                </a:lnTo>
                <a:moveTo>
                  <a:pt x="3045" y="209"/>
                </a:moveTo>
                <a:lnTo>
                  <a:pt x="2999" y="209"/>
                </a:lnTo>
                <a:lnTo>
                  <a:pt x="2999" y="325"/>
                </a:lnTo>
                <a:lnTo>
                  <a:pt x="3045" y="325"/>
                </a:lnTo>
                <a:lnTo>
                  <a:pt x="3045" y="209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8" name="Line 29">
            <a:extLst>
              <a:ext uri="{FF2B5EF4-FFF2-40B4-BE49-F238E27FC236}">
                <a16:creationId xmlns:a16="http://schemas.microsoft.com/office/drawing/2014/main" id="{774D62E4-7186-4B03-BC50-75EC07BE10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625" y="949"/>
            <a:ext cx="180" cy="0"/>
          </a:xfrm>
          <a:prstGeom prst="line">
            <a:avLst/>
          </a:prstGeom>
          <a:noFill/>
          <a:ln w="254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8B9E664-AEB7-4757-8672-D9B0D728B339}"/>
              </a:ext>
            </a:extLst>
          </xdr:cNvPr>
          <xdr:cNvSpPr>
            <a:spLocks noChangeArrowheads="1"/>
          </xdr:cNvSpPr>
        </xdr:nvSpPr>
        <xdr:spPr bwMode="auto">
          <a:xfrm>
            <a:off x="3758" y="819"/>
            <a:ext cx="47" cy="110"/>
          </a:xfrm>
          <a:prstGeom prst="rect">
            <a:avLst/>
          </a:pr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0" name="AutoShape 27">
            <a:extLst>
              <a:ext uri="{FF2B5EF4-FFF2-40B4-BE49-F238E27FC236}">
                <a16:creationId xmlns:a16="http://schemas.microsoft.com/office/drawing/2014/main" id="{575434A1-6F25-4BD3-B930-4742C40748E5}"/>
              </a:ext>
            </a:extLst>
          </xdr:cNvPr>
          <xdr:cNvSpPr>
            <a:spLocks/>
          </xdr:cNvSpPr>
        </xdr:nvSpPr>
        <xdr:spPr bwMode="auto">
          <a:xfrm>
            <a:off x="3567" y="818"/>
            <a:ext cx="490" cy="267"/>
          </a:xfrm>
          <a:custGeom>
            <a:avLst/>
            <a:gdLst>
              <a:gd name="T0" fmla="+- 0 3568 3568"/>
              <a:gd name="T1" fmla="*/ T0 w 490"/>
              <a:gd name="T2" fmla="+- 0 818 818"/>
              <a:gd name="T3" fmla="*/ 818 h 267"/>
              <a:gd name="T4" fmla="+- 0 3568 3568"/>
              <a:gd name="T5" fmla="*/ T4 w 490"/>
              <a:gd name="T6" fmla="+- 0 1085 818"/>
              <a:gd name="T7" fmla="*/ 1085 h 267"/>
              <a:gd name="T8" fmla="+- 0 3877 3568"/>
              <a:gd name="T9" fmla="*/ T8 w 490"/>
              <a:gd name="T10" fmla="+- 0 818 818"/>
              <a:gd name="T11" fmla="*/ 818 h 267"/>
              <a:gd name="T12" fmla="+- 0 3877 3568"/>
              <a:gd name="T13" fmla="*/ T12 w 490"/>
              <a:gd name="T14" fmla="+- 0 1084 818"/>
              <a:gd name="T15" fmla="*/ 1084 h 267"/>
              <a:gd name="T16" fmla="+- 0 4057 3568"/>
              <a:gd name="T17" fmla="*/ T16 w 490"/>
              <a:gd name="T18" fmla="+- 0 864 818"/>
              <a:gd name="T19" fmla="*/ 864 h 267"/>
              <a:gd name="T20" fmla="+- 0 4057 3568"/>
              <a:gd name="T21" fmla="*/ T20 w 490"/>
              <a:gd name="T22" fmla="+- 0 1084 818"/>
              <a:gd name="T23" fmla="*/ 1084 h 26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490" h="267">
                <a:moveTo>
                  <a:pt x="0" y="0"/>
                </a:moveTo>
                <a:lnTo>
                  <a:pt x="0" y="267"/>
                </a:lnTo>
                <a:moveTo>
                  <a:pt x="309" y="0"/>
                </a:moveTo>
                <a:lnTo>
                  <a:pt x="309" y="266"/>
                </a:lnTo>
                <a:moveTo>
                  <a:pt x="489" y="46"/>
                </a:moveTo>
                <a:lnTo>
                  <a:pt x="489" y="266"/>
                </a:lnTo>
              </a:path>
            </a:pathLst>
          </a:cu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1" name="Line 26">
            <a:extLst>
              <a:ext uri="{FF2B5EF4-FFF2-40B4-BE49-F238E27FC236}">
                <a16:creationId xmlns:a16="http://schemas.microsoft.com/office/drawing/2014/main" id="{A6E4B802-4365-4F1F-9A44-EA76387E69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933" y="841"/>
            <a:ext cx="248" cy="0"/>
          </a:xfrm>
          <a:prstGeom prst="line">
            <a:avLst/>
          </a:pr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" name="Line 25">
            <a:extLst>
              <a:ext uri="{FF2B5EF4-FFF2-40B4-BE49-F238E27FC236}">
                <a16:creationId xmlns:a16="http://schemas.microsoft.com/office/drawing/2014/main" id="{32FBEFFA-26DF-4470-9758-6FC4782CD0B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1061"/>
            <a:ext cx="238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" name="Line 24">
            <a:extLst>
              <a:ext uri="{FF2B5EF4-FFF2-40B4-BE49-F238E27FC236}">
                <a16:creationId xmlns:a16="http://schemas.microsoft.com/office/drawing/2014/main" id="{B3707359-F406-4085-9FF7-9F47421789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35" y="864"/>
            <a:ext cx="0" cy="174"/>
          </a:xfrm>
          <a:prstGeom prst="line">
            <a:avLst/>
          </a:prstGeom>
          <a:noFill/>
          <a:ln w="29337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" name="Line 23">
            <a:extLst>
              <a:ext uri="{FF2B5EF4-FFF2-40B4-BE49-F238E27FC236}">
                <a16:creationId xmlns:a16="http://schemas.microsoft.com/office/drawing/2014/main" id="{C587AF00-E41A-4A9E-8256-E4FF8B0DD9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841"/>
            <a:ext cx="237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22">
            <a:extLst>
              <a:ext uri="{FF2B5EF4-FFF2-40B4-BE49-F238E27FC236}">
                <a16:creationId xmlns:a16="http://schemas.microsoft.com/office/drawing/2014/main" id="{E34AE501-86E9-4055-8467-EEBB1F19F8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92" y="949"/>
            <a:ext cx="148" cy="0"/>
          </a:xfrm>
          <a:prstGeom prst="line">
            <a:avLst/>
          </a:prstGeom>
          <a:noFill/>
          <a:ln w="24892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" name="AutoShape 21">
            <a:extLst>
              <a:ext uri="{FF2B5EF4-FFF2-40B4-BE49-F238E27FC236}">
                <a16:creationId xmlns:a16="http://schemas.microsoft.com/office/drawing/2014/main" id="{33AAA9F3-6FDD-4778-AD6E-912DA63017E3}"/>
              </a:ext>
            </a:extLst>
          </xdr:cNvPr>
          <xdr:cNvSpPr>
            <a:spLocks/>
          </xdr:cNvSpPr>
        </xdr:nvSpPr>
        <xdr:spPr bwMode="auto">
          <a:xfrm>
            <a:off x="4489" y="814"/>
            <a:ext cx="902" cy="270"/>
          </a:xfrm>
          <a:custGeom>
            <a:avLst/>
            <a:gdLst>
              <a:gd name="T0" fmla="+- 0 4774 4489"/>
              <a:gd name="T1" fmla="*/ T0 w 902"/>
              <a:gd name="T2" fmla="+- 0 992 814"/>
              <a:gd name="T3" fmla="*/ 992 h 270"/>
              <a:gd name="T4" fmla="+- 0 4768 4489"/>
              <a:gd name="T5" fmla="*/ T4 w 902"/>
              <a:gd name="T6" fmla="+- 0 973 814"/>
              <a:gd name="T7" fmla="*/ 973 h 270"/>
              <a:gd name="T8" fmla="+- 0 4755 4489"/>
              <a:gd name="T9" fmla="*/ T8 w 902"/>
              <a:gd name="T10" fmla="+- 0 955 814"/>
              <a:gd name="T11" fmla="*/ 955 h 270"/>
              <a:gd name="T12" fmla="+- 0 4733 4489"/>
              <a:gd name="T13" fmla="*/ T12 w 902"/>
              <a:gd name="T14" fmla="+- 0 944 814"/>
              <a:gd name="T15" fmla="*/ 944 h 270"/>
              <a:gd name="T16" fmla="+- 0 4743 4489"/>
              <a:gd name="T17" fmla="*/ T16 w 902"/>
              <a:gd name="T18" fmla="+- 0 940 814"/>
              <a:gd name="T19" fmla="*/ 940 h 270"/>
              <a:gd name="T20" fmla="+- 0 4752 4489"/>
              <a:gd name="T21" fmla="*/ T20 w 902"/>
              <a:gd name="T22" fmla="+- 0 934 814"/>
              <a:gd name="T23" fmla="*/ 934 h 270"/>
              <a:gd name="T24" fmla="+- 0 4759 4489"/>
              <a:gd name="T25" fmla="*/ T24 w 902"/>
              <a:gd name="T26" fmla="+- 0 925 814"/>
              <a:gd name="T27" fmla="*/ 925 h 270"/>
              <a:gd name="T28" fmla="+- 0 4765 4489"/>
              <a:gd name="T29" fmla="*/ T28 w 902"/>
              <a:gd name="T30" fmla="+- 0 916 814"/>
              <a:gd name="T31" fmla="*/ 916 h 270"/>
              <a:gd name="T32" fmla="+- 0 4770 4489"/>
              <a:gd name="T33" fmla="*/ T32 w 902"/>
              <a:gd name="T34" fmla="+- 0 895 814"/>
              <a:gd name="T35" fmla="*/ 895 h 270"/>
              <a:gd name="T36" fmla="+- 0 4768 4489"/>
              <a:gd name="T37" fmla="*/ T36 w 902"/>
              <a:gd name="T38" fmla="+- 0 866 814"/>
              <a:gd name="T39" fmla="*/ 866 h 270"/>
              <a:gd name="T40" fmla="+- 0 4764 4489"/>
              <a:gd name="T41" fmla="*/ T40 w 902"/>
              <a:gd name="T42" fmla="+- 0 857 814"/>
              <a:gd name="T43" fmla="*/ 857 h 270"/>
              <a:gd name="T44" fmla="+- 0 4754 4489"/>
              <a:gd name="T45" fmla="*/ T44 w 902"/>
              <a:gd name="T46" fmla="+- 0 841 814"/>
              <a:gd name="T47" fmla="*/ 841 h 270"/>
              <a:gd name="T48" fmla="+- 0 4730 4489"/>
              <a:gd name="T49" fmla="*/ T48 w 902"/>
              <a:gd name="T50" fmla="+- 0 825 814"/>
              <a:gd name="T51" fmla="*/ 825 h 270"/>
              <a:gd name="T52" fmla="+- 0 4727 4489"/>
              <a:gd name="T53" fmla="*/ T52 w 902"/>
              <a:gd name="T54" fmla="+- 0 992 814"/>
              <a:gd name="T55" fmla="*/ 992 h 270"/>
              <a:gd name="T56" fmla="+- 0 4726 4489"/>
              <a:gd name="T57" fmla="*/ T56 w 902"/>
              <a:gd name="T58" fmla="+- 0 1015 814"/>
              <a:gd name="T59" fmla="*/ 1015 h 270"/>
              <a:gd name="T60" fmla="+- 0 4721 4489"/>
              <a:gd name="T61" fmla="*/ T60 w 902"/>
              <a:gd name="T62" fmla="+- 0 1024 814"/>
              <a:gd name="T63" fmla="*/ 1024 h 270"/>
              <a:gd name="T64" fmla="+- 0 4711 4489"/>
              <a:gd name="T65" fmla="*/ T64 w 902"/>
              <a:gd name="T66" fmla="+- 0 1030 814"/>
              <a:gd name="T67" fmla="*/ 1030 h 270"/>
              <a:gd name="T68" fmla="+- 0 4700 4489"/>
              <a:gd name="T69" fmla="*/ T68 w 902"/>
              <a:gd name="T70" fmla="+- 0 1035 814"/>
              <a:gd name="T71" fmla="*/ 1035 h 270"/>
              <a:gd name="T72" fmla="+- 0 4678 4489"/>
              <a:gd name="T73" fmla="*/ T72 w 902"/>
              <a:gd name="T74" fmla="+- 0 1038 814"/>
              <a:gd name="T75" fmla="*/ 1038 h 270"/>
              <a:gd name="T76" fmla="+- 0 4536 4489"/>
              <a:gd name="T77" fmla="*/ T76 w 902"/>
              <a:gd name="T78" fmla="+- 0 865 814"/>
              <a:gd name="T79" fmla="*/ 865 h 270"/>
              <a:gd name="T80" fmla="+- 0 4682 4489"/>
              <a:gd name="T81" fmla="*/ T80 w 902"/>
              <a:gd name="T82" fmla="+- 0 865 814"/>
              <a:gd name="T83" fmla="*/ 865 h 270"/>
              <a:gd name="T84" fmla="+- 0 4702 4489"/>
              <a:gd name="T85" fmla="*/ T84 w 902"/>
              <a:gd name="T86" fmla="+- 0 868 814"/>
              <a:gd name="T87" fmla="*/ 868 h 270"/>
              <a:gd name="T88" fmla="+- 0 4712 4489"/>
              <a:gd name="T89" fmla="*/ T88 w 902"/>
              <a:gd name="T90" fmla="+- 0 873 814"/>
              <a:gd name="T91" fmla="*/ 873 h 270"/>
              <a:gd name="T92" fmla="+- 0 4722 4489"/>
              <a:gd name="T93" fmla="*/ T92 w 902"/>
              <a:gd name="T94" fmla="+- 0 884 814"/>
              <a:gd name="T95" fmla="*/ 884 h 270"/>
              <a:gd name="T96" fmla="+- 0 4723 4489"/>
              <a:gd name="T97" fmla="*/ T96 w 902"/>
              <a:gd name="T98" fmla="+- 0 909 814"/>
              <a:gd name="T99" fmla="*/ 909 h 270"/>
              <a:gd name="T100" fmla="+- 0 4713 4489"/>
              <a:gd name="T101" fmla="*/ T100 w 902"/>
              <a:gd name="T102" fmla="+- 0 922 814"/>
              <a:gd name="T103" fmla="*/ 922 h 270"/>
              <a:gd name="T104" fmla="+- 0 4697 4489"/>
              <a:gd name="T105" fmla="*/ T104 w 902"/>
              <a:gd name="T106" fmla="+- 0 929 814"/>
              <a:gd name="T107" fmla="*/ 929 h 270"/>
              <a:gd name="T108" fmla="+- 0 4569 4489"/>
              <a:gd name="T109" fmla="*/ T108 w 902"/>
              <a:gd name="T110" fmla="+- 0 969 814"/>
              <a:gd name="T111" fmla="*/ 969 h 270"/>
              <a:gd name="T112" fmla="+- 0 4710 4489"/>
              <a:gd name="T113" fmla="*/ T112 w 902"/>
              <a:gd name="T114" fmla="+- 0 972 814"/>
              <a:gd name="T115" fmla="*/ 972 h 270"/>
              <a:gd name="T116" fmla="+- 0 4727 4489"/>
              <a:gd name="T117" fmla="*/ T116 w 902"/>
              <a:gd name="T118" fmla="+- 0 992 814"/>
              <a:gd name="T119" fmla="*/ 992 h 270"/>
              <a:gd name="T120" fmla="+- 0 4708 4489"/>
              <a:gd name="T121" fmla="*/ T120 w 902"/>
              <a:gd name="T122" fmla="+- 0 819 814"/>
              <a:gd name="T123" fmla="*/ 819 h 270"/>
              <a:gd name="T124" fmla="+- 0 4489 4489"/>
              <a:gd name="T125" fmla="*/ T124 w 902"/>
              <a:gd name="T126" fmla="+- 0 818 814"/>
              <a:gd name="T127" fmla="*/ 818 h 270"/>
              <a:gd name="T128" fmla="+- 0 4702 4489"/>
              <a:gd name="T129" fmla="*/ T128 w 902"/>
              <a:gd name="T130" fmla="+- 0 1084 814"/>
              <a:gd name="T131" fmla="*/ 1084 h 270"/>
              <a:gd name="T132" fmla="+- 0 4735 4489"/>
              <a:gd name="T133" fmla="*/ T132 w 902"/>
              <a:gd name="T134" fmla="+- 0 1075 814"/>
              <a:gd name="T135" fmla="*/ 1075 h 270"/>
              <a:gd name="T136" fmla="+- 0 4759 4489"/>
              <a:gd name="T137" fmla="*/ T136 w 902"/>
              <a:gd name="T138" fmla="+- 0 1055 814"/>
              <a:gd name="T139" fmla="*/ 1055 h 270"/>
              <a:gd name="T140" fmla="+- 0 4768 4489"/>
              <a:gd name="T141" fmla="*/ T140 w 902"/>
              <a:gd name="T142" fmla="+- 0 1038 814"/>
              <a:gd name="T143" fmla="*/ 1038 h 270"/>
              <a:gd name="T144" fmla="+- 0 4775 4489"/>
              <a:gd name="T145" fmla="*/ T144 w 902"/>
              <a:gd name="T146" fmla="+- 0 1016 814"/>
              <a:gd name="T147" fmla="*/ 1016 h 270"/>
              <a:gd name="T148" fmla="+- 0 5128 4489"/>
              <a:gd name="T149" fmla="*/ T148 w 902"/>
              <a:gd name="T150" fmla="+- 0 1084 814"/>
              <a:gd name="T151" fmla="*/ 1084 h 270"/>
              <a:gd name="T152" fmla="+- 0 4975 4489"/>
              <a:gd name="T153" fmla="*/ T152 w 902"/>
              <a:gd name="T154" fmla="+- 0 829 814"/>
              <a:gd name="T155" fmla="*/ 829 h 270"/>
              <a:gd name="T156" fmla="+- 0 4969 4489"/>
              <a:gd name="T157" fmla="*/ T156 w 902"/>
              <a:gd name="T158" fmla="+- 0 821 814"/>
              <a:gd name="T159" fmla="*/ 821 h 270"/>
              <a:gd name="T160" fmla="+- 0 4958 4489"/>
              <a:gd name="T161" fmla="*/ T160 w 902"/>
              <a:gd name="T162" fmla="+- 0 814 814"/>
              <a:gd name="T163" fmla="*/ 814 h 270"/>
              <a:gd name="T164" fmla="+- 0 4943 4489"/>
              <a:gd name="T165" fmla="*/ T164 w 902"/>
              <a:gd name="T166" fmla="+- 0 816 814"/>
              <a:gd name="T167" fmla="*/ 816 h 270"/>
              <a:gd name="T168" fmla="+- 0 4936 4489"/>
              <a:gd name="T169" fmla="*/ T168 w 902"/>
              <a:gd name="T170" fmla="+- 0 821 814"/>
              <a:gd name="T171" fmla="*/ 821 h 270"/>
              <a:gd name="T172" fmla="+- 0 4930 4489"/>
              <a:gd name="T173" fmla="*/ T172 w 902"/>
              <a:gd name="T174" fmla="+- 0 829 814"/>
              <a:gd name="T175" fmla="*/ 829 h 270"/>
              <a:gd name="T176" fmla="+- 0 4830 4489"/>
              <a:gd name="T177" fmla="*/ T176 w 902"/>
              <a:gd name="T178" fmla="+- 0 1084 814"/>
              <a:gd name="T179" fmla="*/ 1084 h 270"/>
              <a:gd name="T180" fmla="+- 0 5010 4489"/>
              <a:gd name="T181" fmla="*/ T180 w 902"/>
              <a:gd name="T182" fmla="+- 0 979 814"/>
              <a:gd name="T183" fmla="*/ 979 h 270"/>
              <a:gd name="T184" fmla="+- 0 4906 4489"/>
              <a:gd name="T185" fmla="*/ T184 w 902"/>
              <a:gd name="T186" fmla="+- 0 1017 814"/>
              <a:gd name="T187" fmla="*/ 1017 h 270"/>
              <a:gd name="T188" fmla="+- 0 5072 4489"/>
              <a:gd name="T189" fmla="*/ T188 w 902"/>
              <a:gd name="T190" fmla="+- 0 1084 814"/>
              <a:gd name="T191" fmla="*/ 1084 h 270"/>
              <a:gd name="T192" fmla="+- 0 5391 4489"/>
              <a:gd name="T193" fmla="*/ T192 w 902"/>
              <a:gd name="T194" fmla="+- 0 818 814"/>
              <a:gd name="T195" fmla="*/ 818 h 270"/>
              <a:gd name="T196" fmla="+- 0 5228 4489"/>
              <a:gd name="T197" fmla="*/ T196 w 902"/>
              <a:gd name="T198" fmla="+- 0 940 814"/>
              <a:gd name="T199" fmla="*/ 940 h 270"/>
              <a:gd name="T200" fmla="+- 0 5062 4489"/>
              <a:gd name="T201" fmla="*/ T200 w 902"/>
              <a:gd name="T202" fmla="+- 0 818 814"/>
              <a:gd name="T203" fmla="*/ 818 h 270"/>
              <a:gd name="T204" fmla="+- 0 5203 4489"/>
              <a:gd name="T205" fmla="*/ T204 w 902"/>
              <a:gd name="T206" fmla="+- 0 1084 814"/>
              <a:gd name="T207" fmla="*/ 1084 h 270"/>
              <a:gd name="T208" fmla="+- 0 5249 4489"/>
              <a:gd name="T209" fmla="*/ T208 w 902"/>
              <a:gd name="T210" fmla="+- 0 983 814"/>
              <a:gd name="T211" fmla="*/ 983 h 270"/>
              <a:gd name="T212" fmla="+- 0 5391 4489"/>
              <a:gd name="T213" fmla="*/ T212 w 902"/>
              <a:gd name="T214" fmla="+- 0 818 814"/>
              <a:gd name="T215" fmla="*/ 818 h 27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902" h="270">
                <a:moveTo>
                  <a:pt x="286" y="190"/>
                </a:moveTo>
                <a:lnTo>
                  <a:pt x="285" y="178"/>
                </a:lnTo>
                <a:lnTo>
                  <a:pt x="283" y="168"/>
                </a:lnTo>
                <a:lnTo>
                  <a:pt x="279" y="159"/>
                </a:lnTo>
                <a:lnTo>
                  <a:pt x="274" y="151"/>
                </a:lnTo>
                <a:lnTo>
                  <a:pt x="266" y="141"/>
                </a:lnTo>
                <a:lnTo>
                  <a:pt x="256" y="134"/>
                </a:lnTo>
                <a:lnTo>
                  <a:pt x="244" y="130"/>
                </a:lnTo>
                <a:lnTo>
                  <a:pt x="249" y="128"/>
                </a:lnTo>
                <a:lnTo>
                  <a:pt x="254" y="126"/>
                </a:lnTo>
                <a:lnTo>
                  <a:pt x="258" y="123"/>
                </a:lnTo>
                <a:lnTo>
                  <a:pt x="263" y="120"/>
                </a:lnTo>
                <a:lnTo>
                  <a:pt x="267" y="116"/>
                </a:lnTo>
                <a:lnTo>
                  <a:pt x="270" y="111"/>
                </a:lnTo>
                <a:lnTo>
                  <a:pt x="273" y="107"/>
                </a:lnTo>
                <a:lnTo>
                  <a:pt x="276" y="102"/>
                </a:lnTo>
                <a:lnTo>
                  <a:pt x="280" y="89"/>
                </a:lnTo>
                <a:lnTo>
                  <a:pt x="281" y="81"/>
                </a:lnTo>
                <a:lnTo>
                  <a:pt x="281" y="62"/>
                </a:lnTo>
                <a:lnTo>
                  <a:pt x="279" y="52"/>
                </a:lnTo>
                <a:lnTo>
                  <a:pt x="278" y="51"/>
                </a:lnTo>
                <a:lnTo>
                  <a:pt x="275" y="43"/>
                </a:lnTo>
                <a:lnTo>
                  <a:pt x="271" y="34"/>
                </a:lnTo>
                <a:lnTo>
                  <a:pt x="265" y="27"/>
                </a:lnTo>
                <a:lnTo>
                  <a:pt x="250" y="16"/>
                </a:lnTo>
                <a:lnTo>
                  <a:pt x="241" y="11"/>
                </a:lnTo>
                <a:lnTo>
                  <a:pt x="238" y="11"/>
                </a:lnTo>
                <a:lnTo>
                  <a:pt x="238" y="178"/>
                </a:lnTo>
                <a:lnTo>
                  <a:pt x="238" y="196"/>
                </a:lnTo>
                <a:lnTo>
                  <a:pt x="237" y="201"/>
                </a:lnTo>
                <a:lnTo>
                  <a:pt x="234" y="205"/>
                </a:lnTo>
                <a:lnTo>
                  <a:pt x="232" y="210"/>
                </a:lnTo>
                <a:lnTo>
                  <a:pt x="228" y="213"/>
                </a:lnTo>
                <a:lnTo>
                  <a:pt x="222" y="216"/>
                </a:lnTo>
                <a:lnTo>
                  <a:pt x="217" y="219"/>
                </a:lnTo>
                <a:lnTo>
                  <a:pt x="211" y="221"/>
                </a:lnTo>
                <a:lnTo>
                  <a:pt x="197" y="223"/>
                </a:lnTo>
                <a:lnTo>
                  <a:pt x="189" y="224"/>
                </a:lnTo>
                <a:lnTo>
                  <a:pt x="47" y="224"/>
                </a:lnTo>
                <a:lnTo>
                  <a:pt x="47" y="51"/>
                </a:lnTo>
                <a:lnTo>
                  <a:pt x="186" y="51"/>
                </a:lnTo>
                <a:lnTo>
                  <a:pt x="193" y="51"/>
                </a:lnTo>
                <a:lnTo>
                  <a:pt x="207" y="53"/>
                </a:lnTo>
                <a:lnTo>
                  <a:pt x="213" y="54"/>
                </a:lnTo>
                <a:lnTo>
                  <a:pt x="218" y="56"/>
                </a:lnTo>
                <a:lnTo>
                  <a:pt x="223" y="59"/>
                </a:lnTo>
                <a:lnTo>
                  <a:pt x="227" y="62"/>
                </a:lnTo>
                <a:lnTo>
                  <a:pt x="233" y="70"/>
                </a:lnTo>
                <a:lnTo>
                  <a:pt x="234" y="76"/>
                </a:lnTo>
                <a:lnTo>
                  <a:pt x="234" y="95"/>
                </a:lnTo>
                <a:lnTo>
                  <a:pt x="231" y="103"/>
                </a:lnTo>
                <a:lnTo>
                  <a:pt x="224" y="108"/>
                </a:lnTo>
                <a:lnTo>
                  <a:pt x="218" y="113"/>
                </a:lnTo>
                <a:lnTo>
                  <a:pt x="208" y="115"/>
                </a:lnTo>
                <a:lnTo>
                  <a:pt x="80" y="115"/>
                </a:lnTo>
                <a:lnTo>
                  <a:pt x="80" y="155"/>
                </a:lnTo>
                <a:lnTo>
                  <a:pt x="211" y="155"/>
                </a:lnTo>
                <a:lnTo>
                  <a:pt x="221" y="158"/>
                </a:lnTo>
                <a:lnTo>
                  <a:pt x="235" y="170"/>
                </a:lnTo>
                <a:lnTo>
                  <a:pt x="238" y="178"/>
                </a:lnTo>
                <a:lnTo>
                  <a:pt x="238" y="11"/>
                </a:lnTo>
                <a:lnTo>
                  <a:pt x="219" y="5"/>
                </a:lnTo>
                <a:lnTo>
                  <a:pt x="208" y="4"/>
                </a:lnTo>
                <a:lnTo>
                  <a:pt x="0" y="4"/>
                </a:lnTo>
                <a:lnTo>
                  <a:pt x="0" y="270"/>
                </a:lnTo>
                <a:lnTo>
                  <a:pt x="213" y="270"/>
                </a:lnTo>
                <a:lnTo>
                  <a:pt x="225" y="268"/>
                </a:lnTo>
                <a:lnTo>
                  <a:pt x="246" y="261"/>
                </a:lnTo>
                <a:lnTo>
                  <a:pt x="255" y="255"/>
                </a:lnTo>
                <a:lnTo>
                  <a:pt x="270" y="241"/>
                </a:lnTo>
                <a:lnTo>
                  <a:pt x="276" y="233"/>
                </a:lnTo>
                <a:lnTo>
                  <a:pt x="279" y="224"/>
                </a:lnTo>
                <a:lnTo>
                  <a:pt x="284" y="213"/>
                </a:lnTo>
                <a:lnTo>
                  <a:pt x="286" y="202"/>
                </a:lnTo>
                <a:lnTo>
                  <a:pt x="286" y="190"/>
                </a:lnTo>
                <a:moveTo>
                  <a:pt x="639" y="270"/>
                </a:moveTo>
                <a:lnTo>
                  <a:pt x="516" y="66"/>
                </a:lnTo>
                <a:lnTo>
                  <a:pt x="486" y="15"/>
                </a:lnTo>
                <a:lnTo>
                  <a:pt x="483" y="11"/>
                </a:lnTo>
                <a:lnTo>
                  <a:pt x="480" y="7"/>
                </a:lnTo>
                <a:lnTo>
                  <a:pt x="473" y="2"/>
                </a:lnTo>
                <a:lnTo>
                  <a:pt x="469" y="0"/>
                </a:lnTo>
                <a:lnTo>
                  <a:pt x="458" y="0"/>
                </a:lnTo>
                <a:lnTo>
                  <a:pt x="454" y="2"/>
                </a:lnTo>
                <a:lnTo>
                  <a:pt x="450" y="4"/>
                </a:lnTo>
                <a:lnTo>
                  <a:pt x="447" y="7"/>
                </a:lnTo>
                <a:lnTo>
                  <a:pt x="443" y="11"/>
                </a:lnTo>
                <a:lnTo>
                  <a:pt x="441" y="15"/>
                </a:lnTo>
                <a:lnTo>
                  <a:pt x="288" y="270"/>
                </a:lnTo>
                <a:lnTo>
                  <a:pt x="341" y="270"/>
                </a:lnTo>
                <a:lnTo>
                  <a:pt x="462" y="66"/>
                </a:lnTo>
                <a:lnTo>
                  <a:pt x="521" y="165"/>
                </a:lnTo>
                <a:lnTo>
                  <a:pt x="439" y="165"/>
                </a:lnTo>
                <a:lnTo>
                  <a:pt x="417" y="203"/>
                </a:lnTo>
                <a:lnTo>
                  <a:pt x="543" y="203"/>
                </a:lnTo>
                <a:lnTo>
                  <a:pt x="583" y="270"/>
                </a:lnTo>
                <a:lnTo>
                  <a:pt x="639" y="270"/>
                </a:lnTo>
                <a:moveTo>
                  <a:pt x="902" y="4"/>
                </a:moveTo>
                <a:lnTo>
                  <a:pt x="843" y="4"/>
                </a:lnTo>
                <a:lnTo>
                  <a:pt x="739" y="126"/>
                </a:lnTo>
                <a:lnTo>
                  <a:pt x="635" y="4"/>
                </a:lnTo>
                <a:lnTo>
                  <a:pt x="573" y="4"/>
                </a:lnTo>
                <a:lnTo>
                  <a:pt x="714" y="169"/>
                </a:lnTo>
                <a:lnTo>
                  <a:pt x="714" y="270"/>
                </a:lnTo>
                <a:lnTo>
                  <a:pt x="760" y="270"/>
                </a:lnTo>
                <a:lnTo>
                  <a:pt x="760" y="169"/>
                </a:lnTo>
                <a:lnTo>
                  <a:pt x="797" y="126"/>
                </a:lnTo>
                <a:lnTo>
                  <a:pt x="902" y="4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7" name="Line 20">
            <a:extLst>
              <a:ext uri="{FF2B5EF4-FFF2-40B4-BE49-F238E27FC236}">
                <a16:creationId xmlns:a16="http://schemas.microsoft.com/office/drawing/2014/main" id="{726685BA-B9DD-4F35-9E74-FF279EFCF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84" y="1517"/>
            <a:ext cx="308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" name="AutoShape 19">
            <a:extLst>
              <a:ext uri="{FF2B5EF4-FFF2-40B4-BE49-F238E27FC236}">
                <a16:creationId xmlns:a16="http://schemas.microsoft.com/office/drawing/2014/main" id="{16FAC0FA-3F9E-4E3E-8E19-D834BF642731}"/>
              </a:ext>
            </a:extLst>
          </xdr:cNvPr>
          <xdr:cNvSpPr>
            <a:spLocks/>
          </xdr:cNvSpPr>
        </xdr:nvSpPr>
        <xdr:spPr bwMode="auto">
          <a:xfrm>
            <a:off x="3115" y="1185"/>
            <a:ext cx="358" cy="364"/>
          </a:xfrm>
          <a:custGeom>
            <a:avLst/>
            <a:gdLst>
              <a:gd name="T0" fmla="+- 0 3115 3115"/>
              <a:gd name="T1" fmla="*/ T0 w 358"/>
              <a:gd name="T2" fmla="+- 0 1185 1185"/>
              <a:gd name="T3" fmla="*/ 1185 h 364"/>
              <a:gd name="T4" fmla="+- 0 3115 3115"/>
              <a:gd name="T5" fmla="*/ T4 w 358"/>
              <a:gd name="T6" fmla="+- 0 1485 1185"/>
              <a:gd name="T7" fmla="*/ 1485 h 364"/>
              <a:gd name="T8" fmla="+- 0 3473 3115"/>
              <a:gd name="T9" fmla="*/ T8 w 358"/>
              <a:gd name="T10" fmla="+- 0 1185 1185"/>
              <a:gd name="T11" fmla="*/ 1185 h 364"/>
              <a:gd name="T12" fmla="+- 0 3473 3115"/>
              <a:gd name="T13" fmla="*/ T12 w 358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58" h="364">
                <a:moveTo>
                  <a:pt x="0" y="0"/>
                </a:moveTo>
                <a:lnTo>
                  <a:pt x="0" y="300"/>
                </a:lnTo>
                <a:moveTo>
                  <a:pt x="358" y="0"/>
                </a:moveTo>
                <a:lnTo>
                  <a:pt x="358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9" name="AutoShape 18">
            <a:extLst>
              <a:ext uri="{FF2B5EF4-FFF2-40B4-BE49-F238E27FC236}">
                <a16:creationId xmlns:a16="http://schemas.microsoft.com/office/drawing/2014/main" id="{DB2B0695-7AEC-4838-ACDE-976D0F38ADA2}"/>
              </a:ext>
            </a:extLst>
          </xdr:cNvPr>
          <xdr:cNvSpPr>
            <a:spLocks/>
          </xdr:cNvSpPr>
        </xdr:nvSpPr>
        <xdr:spPr bwMode="auto">
          <a:xfrm>
            <a:off x="3551" y="1180"/>
            <a:ext cx="536" cy="374"/>
          </a:xfrm>
          <a:custGeom>
            <a:avLst/>
            <a:gdLst>
              <a:gd name="T0" fmla="+- 0 3748 3551"/>
              <a:gd name="T1" fmla="*/ T0 w 536"/>
              <a:gd name="T2" fmla="+- 0 1293 1181"/>
              <a:gd name="T3" fmla="*/ 1293 h 374"/>
              <a:gd name="T4" fmla="+- 0 3683 3551"/>
              <a:gd name="T5" fmla="*/ T4 w 536"/>
              <a:gd name="T6" fmla="+- 0 1293 1181"/>
              <a:gd name="T7" fmla="*/ 1293 h 374"/>
              <a:gd name="T8" fmla="+- 0 3786 3551"/>
              <a:gd name="T9" fmla="*/ T8 w 536"/>
              <a:gd name="T10" fmla="+- 0 1530 1181"/>
              <a:gd name="T11" fmla="*/ 1530 h 374"/>
              <a:gd name="T12" fmla="+- 0 3792 3551"/>
              <a:gd name="T13" fmla="*/ T12 w 536"/>
              <a:gd name="T14" fmla="+- 0 1541 1181"/>
              <a:gd name="T15" fmla="*/ 1541 h 374"/>
              <a:gd name="T16" fmla="+- 0 3799 3551"/>
              <a:gd name="T17" fmla="*/ T16 w 536"/>
              <a:gd name="T18" fmla="+- 0 1548 1181"/>
              <a:gd name="T19" fmla="*/ 1548 h 374"/>
              <a:gd name="T20" fmla="+- 0 3808 3551"/>
              <a:gd name="T21" fmla="*/ T20 w 536"/>
              <a:gd name="T22" fmla="+- 0 1553 1181"/>
              <a:gd name="T23" fmla="*/ 1553 h 374"/>
              <a:gd name="T24" fmla="+- 0 3819 3551"/>
              <a:gd name="T25" fmla="*/ T24 w 536"/>
              <a:gd name="T26" fmla="+- 0 1554 1181"/>
              <a:gd name="T27" fmla="*/ 1554 h 374"/>
              <a:gd name="T28" fmla="+- 0 3826 3551"/>
              <a:gd name="T29" fmla="*/ T28 w 536"/>
              <a:gd name="T30" fmla="+- 0 1554 1181"/>
              <a:gd name="T31" fmla="*/ 1554 h 374"/>
              <a:gd name="T32" fmla="+- 0 3833 3551"/>
              <a:gd name="T33" fmla="*/ T32 w 536"/>
              <a:gd name="T34" fmla="+- 0 1552 1181"/>
              <a:gd name="T35" fmla="*/ 1552 h 374"/>
              <a:gd name="T36" fmla="+- 0 3843 3551"/>
              <a:gd name="T37" fmla="*/ T36 w 536"/>
              <a:gd name="T38" fmla="+- 0 1544 1181"/>
              <a:gd name="T39" fmla="*/ 1544 h 374"/>
              <a:gd name="T40" fmla="+- 0 3847 3551"/>
              <a:gd name="T41" fmla="*/ T40 w 536"/>
              <a:gd name="T42" fmla="+- 0 1538 1181"/>
              <a:gd name="T43" fmla="*/ 1538 h 374"/>
              <a:gd name="T44" fmla="+- 0 3851 3551"/>
              <a:gd name="T45" fmla="*/ T44 w 536"/>
              <a:gd name="T46" fmla="+- 0 1530 1181"/>
              <a:gd name="T47" fmla="*/ 1530 h 374"/>
              <a:gd name="T48" fmla="+- 0 3882 3551"/>
              <a:gd name="T49" fmla="*/ T48 w 536"/>
              <a:gd name="T50" fmla="+- 0 1460 1181"/>
              <a:gd name="T51" fmla="*/ 1460 h 374"/>
              <a:gd name="T52" fmla="+- 0 3820 3551"/>
              <a:gd name="T53" fmla="*/ T52 w 536"/>
              <a:gd name="T54" fmla="+- 0 1460 1181"/>
              <a:gd name="T55" fmla="*/ 1460 h 374"/>
              <a:gd name="T56" fmla="+- 0 3748 3551"/>
              <a:gd name="T57" fmla="*/ T56 w 536"/>
              <a:gd name="T58" fmla="+- 0 1293 1181"/>
              <a:gd name="T59" fmla="*/ 1293 h 374"/>
              <a:gd name="T60" fmla="+- 0 3683 3551"/>
              <a:gd name="T61" fmla="*/ T60 w 536"/>
              <a:gd name="T62" fmla="+- 0 1181 1181"/>
              <a:gd name="T63" fmla="*/ 1181 h 374"/>
              <a:gd name="T64" fmla="+- 0 3676 3551"/>
              <a:gd name="T65" fmla="*/ T64 w 536"/>
              <a:gd name="T66" fmla="+- 0 1181 1181"/>
              <a:gd name="T67" fmla="*/ 1181 h 374"/>
              <a:gd name="T68" fmla="+- 0 3665 3551"/>
              <a:gd name="T69" fmla="*/ T68 w 536"/>
              <a:gd name="T70" fmla="+- 0 1182 1181"/>
              <a:gd name="T71" fmla="*/ 1182 h 374"/>
              <a:gd name="T72" fmla="+- 0 3656 3551"/>
              <a:gd name="T73" fmla="*/ T72 w 536"/>
              <a:gd name="T74" fmla="+- 0 1187 1181"/>
              <a:gd name="T75" fmla="*/ 1187 h 374"/>
              <a:gd name="T76" fmla="+- 0 3649 3551"/>
              <a:gd name="T77" fmla="*/ T76 w 536"/>
              <a:gd name="T78" fmla="+- 0 1195 1181"/>
              <a:gd name="T79" fmla="*/ 1195 h 374"/>
              <a:gd name="T80" fmla="+- 0 3645 3551"/>
              <a:gd name="T81" fmla="*/ T80 w 536"/>
              <a:gd name="T82" fmla="+- 0 1207 1181"/>
              <a:gd name="T83" fmla="*/ 1207 h 374"/>
              <a:gd name="T84" fmla="+- 0 3551 3551"/>
              <a:gd name="T85" fmla="*/ T84 w 536"/>
              <a:gd name="T86" fmla="+- 0 1549 1181"/>
              <a:gd name="T87" fmla="*/ 1549 h 374"/>
              <a:gd name="T88" fmla="+- 0 3614 3551"/>
              <a:gd name="T89" fmla="*/ T88 w 536"/>
              <a:gd name="T90" fmla="+- 0 1549 1181"/>
              <a:gd name="T91" fmla="*/ 1549 h 374"/>
              <a:gd name="T92" fmla="+- 0 3683 3551"/>
              <a:gd name="T93" fmla="*/ T92 w 536"/>
              <a:gd name="T94" fmla="+- 0 1293 1181"/>
              <a:gd name="T95" fmla="*/ 1293 h 374"/>
              <a:gd name="T96" fmla="+- 0 3748 3551"/>
              <a:gd name="T97" fmla="*/ T96 w 536"/>
              <a:gd name="T98" fmla="+- 0 1293 1181"/>
              <a:gd name="T99" fmla="*/ 1293 h 374"/>
              <a:gd name="T100" fmla="+- 0 3708 3551"/>
              <a:gd name="T101" fmla="*/ T100 w 536"/>
              <a:gd name="T102" fmla="+- 0 1202 1181"/>
              <a:gd name="T103" fmla="*/ 1202 h 374"/>
              <a:gd name="T104" fmla="+- 0 3705 3551"/>
              <a:gd name="T105" fmla="*/ T104 w 536"/>
              <a:gd name="T106" fmla="+- 0 1195 1181"/>
              <a:gd name="T107" fmla="*/ 1195 h 374"/>
              <a:gd name="T108" fmla="+- 0 3701 3551"/>
              <a:gd name="T109" fmla="*/ T108 w 536"/>
              <a:gd name="T110" fmla="+- 0 1190 1181"/>
              <a:gd name="T111" fmla="*/ 1190 h 374"/>
              <a:gd name="T112" fmla="+- 0 3695 3551"/>
              <a:gd name="T113" fmla="*/ T112 w 536"/>
              <a:gd name="T114" fmla="+- 0 1186 1181"/>
              <a:gd name="T115" fmla="*/ 1186 h 374"/>
              <a:gd name="T116" fmla="+- 0 3689 3551"/>
              <a:gd name="T117" fmla="*/ T116 w 536"/>
              <a:gd name="T118" fmla="+- 0 1183 1181"/>
              <a:gd name="T119" fmla="*/ 1183 h 374"/>
              <a:gd name="T120" fmla="+- 0 3683 3551"/>
              <a:gd name="T121" fmla="*/ T120 w 536"/>
              <a:gd name="T122" fmla="+- 0 1181 1181"/>
              <a:gd name="T123" fmla="*/ 1181 h 374"/>
              <a:gd name="T124" fmla="+- 0 4017 3551"/>
              <a:gd name="T125" fmla="*/ T124 w 536"/>
              <a:gd name="T126" fmla="+- 0 1293 1181"/>
              <a:gd name="T127" fmla="*/ 1293 h 374"/>
              <a:gd name="T128" fmla="+- 0 3954 3551"/>
              <a:gd name="T129" fmla="*/ T128 w 536"/>
              <a:gd name="T130" fmla="+- 0 1293 1181"/>
              <a:gd name="T131" fmla="*/ 1293 h 374"/>
              <a:gd name="T132" fmla="+- 0 4024 3551"/>
              <a:gd name="T133" fmla="*/ T132 w 536"/>
              <a:gd name="T134" fmla="+- 0 1549 1181"/>
              <a:gd name="T135" fmla="*/ 1549 h 374"/>
              <a:gd name="T136" fmla="+- 0 4087 3551"/>
              <a:gd name="T137" fmla="*/ T136 w 536"/>
              <a:gd name="T138" fmla="+- 0 1549 1181"/>
              <a:gd name="T139" fmla="*/ 1549 h 374"/>
              <a:gd name="T140" fmla="+- 0 4017 3551"/>
              <a:gd name="T141" fmla="*/ T140 w 536"/>
              <a:gd name="T142" fmla="+- 0 1293 1181"/>
              <a:gd name="T143" fmla="*/ 1293 h 374"/>
              <a:gd name="T144" fmla="+- 0 3963 3551"/>
              <a:gd name="T145" fmla="*/ T144 w 536"/>
              <a:gd name="T146" fmla="+- 0 1181 1181"/>
              <a:gd name="T147" fmla="*/ 1181 h 374"/>
              <a:gd name="T148" fmla="+- 0 3949 3551"/>
              <a:gd name="T149" fmla="*/ T148 w 536"/>
              <a:gd name="T150" fmla="+- 0 1181 1181"/>
              <a:gd name="T151" fmla="*/ 1181 h 374"/>
              <a:gd name="T152" fmla="+- 0 3938 3551"/>
              <a:gd name="T153" fmla="*/ T152 w 536"/>
              <a:gd name="T154" fmla="+- 0 1188 1181"/>
              <a:gd name="T155" fmla="*/ 1188 h 374"/>
              <a:gd name="T156" fmla="+- 0 3932 3551"/>
              <a:gd name="T157" fmla="*/ T156 w 536"/>
              <a:gd name="T158" fmla="+- 0 1202 1181"/>
              <a:gd name="T159" fmla="*/ 1202 h 374"/>
              <a:gd name="T160" fmla="+- 0 3820 3551"/>
              <a:gd name="T161" fmla="*/ T160 w 536"/>
              <a:gd name="T162" fmla="+- 0 1460 1181"/>
              <a:gd name="T163" fmla="*/ 1460 h 374"/>
              <a:gd name="T164" fmla="+- 0 3882 3551"/>
              <a:gd name="T165" fmla="*/ T164 w 536"/>
              <a:gd name="T166" fmla="+- 0 1460 1181"/>
              <a:gd name="T167" fmla="*/ 1460 h 374"/>
              <a:gd name="T168" fmla="+- 0 3954 3551"/>
              <a:gd name="T169" fmla="*/ T168 w 536"/>
              <a:gd name="T170" fmla="+- 0 1293 1181"/>
              <a:gd name="T171" fmla="*/ 1293 h 374"/>
              <a:gd name="T172" fmla="+- 0 4017 3551"/>
              <a:gd name="T173" fmla="*/ T172 w 536"/>
              <a:gd name="T174" fmla="+- 0 1293 1181"/>
              <a:gd name="T175" fmla="*/ 1293 h 374"/>
              <a:gd name="T176" fmla="+- 0 3994 3551"/>
              <a:gd name="T177" fmla="*/ T176 w 536"/>
              <a:gd name="T178" fmla="+- 0 1207 1181"/>
              <a:gd name="T179" fmla="*/ 1207 h 374"/>
              <a:gd name="T180" fmla="+- 0 3989 3551"/>
              <a:gd name="T181" fmla="*/ T180 w 536"/>
              <a:gd name="T182" fmla="+- 0 1195 1181"/>
              <a:gd name="T183" fmla="*/ 1195 h 374"/>
              <a:gd name="T184" fmla="+- 0 3982 3551"/>
              <a:gd name="T185" fmla="*/ T184 w 536"/>
              <a:gd name="T186" fmla="+- 0 1187 1181"/>
              <a:gd name="T187" fmla="*/ 1187 h 374"/>
              <a:gd name="T188" fmla="+- 0 3974 3551"/>
              <a:gd name="T189" fmla="*/ T188 w 536"/>
              <a:gd name="T190" fmla="+- 0 1182 1181"/>
              <a:gd name="T191" fmla="*/ 1182 h 374"/>
              <a:gd name="T192" fmla="+- 0 3963 3551"/>
              <a:gd name="T193" fmla="*/ T192 w 536"/>
              <a:gd name="T194" fmla="+- 0 1181 1181"/>
              <a:gd name="T195" fmla="*/ 1181 h 37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536" h="374">
                <a:moveTo>
                  <a:pt x="197" y="112"/>
                </a:moveTo>
                <a:lnTo>
                  <a:pt x="132" y="112"/>
                </a:lnTo>
                <a:lnTo>
                  <a:pt x="235" y="349"/>
                </a:lnTo>
                <a:lnTo>
                  <a:pt x="241" y="360"/>
                </a:lnTo>
                <a:lnTo>
                  <a:pt x="248" y="367"/>
                </a:lnTo>
                <a:lnTo>
                  <a:pt x="257" y="372"/>
                </a:lnTo>
                <a:lnTo>
                  <a:pt x="268" y="373"/>
                </a:lnTo>
                <a:lnTo>
                  <a:pt x="275" y="373"/>
                </a:lnTo>
                <a:lnTo>
                  <a:pt x="282" y="371"/>
                </a:lnTo>
                <a:lnTo>
                  <a:pt x="292" y="363"/>
                </a:lnTo>
                <a:lnTo>
                  <a:pt x="296" y="357"/>
                </a:lnTo>
                <a:lnTo>
                  <a:pt x="300" y="349"/>
                </a:lnTo>
                <a:lnTo>
                  <a:pt x="331" y="279"/>
                </a:lnTo>
                <a:lnTo>
                  <a:pt x="269" y="279"/>
                </a:lnTo>
                <a:lnTo>
                  <a:pt x="197" y="112"/>
                </a:lnTo>
                <a:close/>
                <a:moveTo>
                  <a:pt x="132" y="0"/>
                </a:moveTo>
                <a:lnTo>
                  <a:pt x="125" y="0"/>
                </a:lnTo>
                <a:lnTo>
                  <a:pt x="114" y="1"/>
                </a:lnTo>
                <a:lnTo>
                  <a:pt x="105" y="6"/>
                </a:lnTo>
                <a:lnTo>
                  <a:pt x="98" y="14"/>
                </a:lnTo>
                <a:lnTo>
                  <a:pt x="94" y="26"/>
                </a:lnTo>
                <a:lnTo>
                  <a:pt x="0" y="368"/>
                </a:lnTo>
                <a:lnTo>
                  <a:pt x="63" y="368"/>
                </a:lnTo>
                <a:lnTo>
                  <a:pt x="132" y="112"/>
                </a:lnTo>
                <a:lnTo>
                  <a:pt x="197" y="112"/>
                </a:lnTo>
                <a:lnTo>
                  <a:pt x="157" y="21"/>
                </a:lnTo>
                <a:lnTo>
                  <a:pt x="154" y="14"/>
                </a:lnTo>
                <a:lnTo>
                  <a:pt x="150" y="9"/>
                </a:lnTo>
                <a:lnTo>
                  <a:pt x="144" y="5"/>
                </a:lnTo>
                <a:lnTo>
                  <a:pt x="138" y="2"/>
                </a:lnTo>
                <a:lnTo>
                  <a:pt x="132" y="0"/>
                </a:lnTo>
                <a:close/>
                <a:moveTo>
                  <a:pt x="466" y="112"/>
                </a:moveTo>
                <a:lnTo>
                  <a:pt x="403" y="112"/>
                </a:lnTo>
                <a:lnTo>
                  <a:pt x="473" y="368"/>
                </a:lnTo>
                <a:lnTo>
                  <a:pt x="536" y="368"/>
                </a:lnTo>
                <a:lnTo>
                  <a:pt x="466" y="112"/>
                </a:lnTo>
                <a:close/>
                <a:moveTo>
                  <a:pt x="412" y="0"/>
                </a:moveTo>
                <a:lnTo>
                  <a:pt x="398" y="0"/>
                </a:lnTo>
                <a:lnTo>
                  <a:pt x="387" y="7"/>
                </a:lnTo>
                <a:lnTo>
                  <a:pt x="381" y="21"/>
                </a:lnTo>
                <a:lnTo>
                  <a:pt x="269" y="279"/>
                </a:lnTo>
                <a:lnTo>
                  <a:pt x="331" y="279"/>
                </a:lnTo>
                <a:lnTo>
                  <a:pt x="403" y="112"/>
                </a:lnTo>
                <a:lnTo>
                  <a:pt x="466" y="112"/>
                </a:lnTo>
                <a:lnTo>
                  <a:pt x="443" y="26"/>
                </a:lnTo>
                <a:lnTo>
                  <a:pt x="438" y="14"/>
                </a:lnTo>
                <a:lnTo>
                  <a:pt x="431" y="6"/>
                </a:lnTo>
                <a:lnTo>
                  <a:pt x="423" y="1"/>
                </a:lnTo>
                <a:lnTo>
                  <a:pt x="412" y="0"/>
                </a:lnTo>
                <a:close/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20" name="AutoShape 17">
            <a:extLst>
              <a:ext uri="{FF2B5EF4-FFF2-40B4-BE49-F238E27FC236}">
                <a16:creationId xmlns:a16="http://schemas.microsoft.com/office/drawing/2014/main" id="{5E2F5381-C3A0-4CA5-B948-B66EC667C967}"/>
              </a:ext>
            </a:extLst>
          </xdr:cNvPr>
          <xdr:cNvSpPr>
            <a:spLocks/>
          </xdr:cNvSpPr>
        </xdr:nvSpPr>
        <xdr:spPr bwMode="auto">
          <a:xfrm>
            <a:off x="4164" y="1185"/>
            <a:ext cx="247" cy="364"/>
          </a:xfrm>
          <a:custGeom>
            <a:avLst/>
            <a:gdLst>
              <a:gd name="T0" fmla="+- 0 4164 4164"/>
              <a:gd name="T1" fmla="*/ T0 w 247"/>
              <a:gd name="T2" fmla="+- 0 1185 1185"/>
              <a:gd name="T3" fmla="*/ 1185 h 364"/>
              <a:gd name="T4" fmla="+- 0 4164 4164"/>
              <a:gd name="T5" fmla="*/ T4 w 247"/>
              <a:gd name="T6" fmla="+- 0 1549 1185"/>
              <a:gd name="T7" fmla="*/ 1549 h 364"/>
              <a:gd name="T8" fmla="+- 0 4411 4164"/>
              <a:gd name="T9" fmla="*/ T8 w 247"/>
              <a:gd name="T10" fmla="+- 0 1249 1185"/>
              <a:gd name="T11" fmla="*/ 1249 h 364"/>
              <a:gd name="T12" fmla="+- 0 4411 4164"/>
              <a:gd name="T13" fmla="*/ T12 w 247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47" h="364">
                <a:moveTo>
                  <a:pt x="0" y="0"/>
                </a:moveTo>
                <a:lnTo>
                  <a:pt x="0" y="364"/>
                </a:lnTo>
                <a:moveTo>
                  <a:pt x="247" y="64"/>
                </a:moveTo>
                <a:lnTo>
                  <a:pt x="247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21" name="Line 16">
            <a:extLst>
              <a:ext uri="{FF2B5EF4-FFF2-40B4-BE49-F238E27FC236}">
                <a16:creationId xmlns:a16="http://schemas.microsoft.com/office/drawing/2014/main" id="{3616A247-AC8A-4A8D-B452-E5B26756E8E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41" y="1217"/>
            <a:ext cx="340" cy="0"/>
          </a:xfrm>
          <a:prstGeom prst="line">
            <a:avLst/>
          </a:pr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" name="Line 15">
            <a:extLst>
              <a:ext uri="{FF2B5EF4-FFF2-40B4-BE49-F238E27FC236}">
                <a16:creationId xmlns:a16="http://schemas.microsoft.com/office/drawing/2014/main" id="{3075F013-89F4-4A9B-8894-B23B7738F2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518"/>
            <a:ext cx="325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14">
            <a:extLst>
              <a:ext uri="{FF2B5EF4-FFF2-40B4-BE49-F238E27FC236}">
                <a16:creationId xmlns:a16="http://schemas.microsoft.com/office/drawing/2014/main" id="{E4D4B667-D233-449E-BFAA-B56C5DFCCE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54" y="1248"/>
            <a:ext cx="0" cy="238"/>
          </a:xfrm>
          <a:prstGeom prst="line">
            <a:avLst/>
          </a:prstGeom>
          <a:noFill/>
          <a:ln w="40005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13">
            <a:extLst>
              <a:ext uri="{FF2B5EF4-FFF2-40B4-BE49-F238E27FC236}">
                <a16:creationId xmlns:a16="http://schemas.microsoft.com/office/drawing/2014/main" id="{1FFD72B6-4F45-4877-90E0-8ECC028D75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217"/>
            <a:ext cx="325" cy="0"/>
          </a:xfrm>
          <a:prstGeom prst="line">
            <a:avLst/>
          </a:prstGeom>
          <a:noFill/>
          <a:ln w="3937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12">
            <a:extLst>
              <a:ext uri="{FF2B5EF4-FFF2-40B4-BE49-F238E27FC236}">
                <a16:creationId xmlns:a16="http://schemas.microsoft.com/office/drawing/2014/main" id="{3F3345AF-01CA-4CB9-B75D-9B45DE43E2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732" y="1364"/>
            <a:ext cx="202" cy="0"/>
          </a:xfrm>
          <a:prstGeom prst="line">
            <a:avLst/>
          </a:prstGeom>
          <a:noFill/>
          <a:ln w="3403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6" name="Picture 11">
            <a:extLst>
              <a:ext uri="{FF2B5EF4-FFF2-40B4-BE49-F238E27FC236}">
                <a16:creationId xmlns:a16="http://schemas.microsoft.com/office/drawing/2014/main" id="{23FDB11C-CDFC-4EAC-9E53-4FA1B572493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02" y="1185"/>
            <a:ext cx="388" cy="3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27" name="Line 10">
            <a:extLst>
              <a:ext uri="{FF2B5EF4-FFF2-40B4-BE49-F238E27FC236}">
                <a16:creationId xmlns:a16="http://schemas.microsoft.com/office/drawing/2014/main" id="{5BB124D1-6FE3-4607-B070-EDCFD3D915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85" y="23"/>
            <a:ext cx="0" cy="1922"/>
          </a:xfrm>
          <a:prstGeom prst="line">
            <a:avLst/>
          </a:prstGeom>
          <a:noFill/>
          <a:ln w="127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8" name="Text Box 9">
            <a:extLst>
              <a:ext uri="{FF2B5EF4-FFF2-40B4-BE49-F238E27FC236}">
                <a16:creationId xmlns:a16="http://schemas.microsoft.com/office/drawing/2014/main" id="{3C3A9B00-DCE0-4CA5-AD07-3A0966BD2E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48" y="288"/>
            <a:ext cx="1806" cy="6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lnSpc>
                <a:spcPts val="109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NIF : 001616101088716.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8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AI: 16480102013.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75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RC : 16/00-1010887B16.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9" name="Text Box 8">
            <a:extLst>
              <a:ext uri="{FF2B5EF4-FFF2-40B4-BE49-F238E27FC236}">
                <a16:creationId xmlns:a16="http://schemas.microsoft.com/office/drawing/2014/main" id="{F794BC33-6578-4B81-927F-B6AE7C734B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4" y="892"/>
            <a:ext cx="3052" cy="10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spcAft>
                <a:spcPts val="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</a:p>
          <a:p>
            <a:pPr>
              <a:spcBef>
                <a:spcPts val="60"/>
              </a:spcBef>
              <a:spcAft>
                <a:spcPts val="0"/>
              </a:spcAft>
            </a:pPr>
            <a:r>
              <a:rPr lang="fr-FR" sz="8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endParaRPr lang="fr-FR" sz="900">
              <a:solidFill>
                <a:srgbClr val="F3F3F3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r>
              <a:rPr lang="fr-FR" sz="9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15874</xdr:colOff>
      <xdr:row>1</xdr:row>
      <xdr:rowOff>0</xdr:rowOff>
    </xdr:from>
    <xdr:to>
      <xdr:col>12</xdr:col>
      <xdr:colOff>1238249</xdr:colOff>
      <xdr:row>14</xdr:row>
      <xdr:rowOff>47625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D8BA9093-A2DF-47FA-91F7-47B1965CD8E4}"/>
            </a:ext>
          </a:extLst>
        </xdr:cNvPr>
        <xdr:cNvGrpSpPr>
          <a:grpSpLocks/>
        </xdr:cNvGrpSpPr>
      </xdr:nvGrpSpPr>
      <xdr:grpSpPr bwMode="auto">
        <a:xfrm>
          <a:off x="2587624" y="190500"/>
          <a:ext cx="16788946" cy="2524125"/>
          <a:chOff x="0" y="0"/>
          <a:chExt cx="12246" cy="241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51AD088-7660-431F-9D8E-CDF211F21A46}"/>
              </a:ext>
            </a:extLst>
          </xdr:cNvPr>
          <xdr:cNvSpPr>
            <a:spLocks noChangeArrowheads="1"/>
          </xdr:cNvSpPr>
        </xdr:nvSpPr>
        <xdr:spPr bwMode="auto">
          <a:xfrm>
            <a:off x="4842" y="892"/>
            <a:ext cx="7403" cy="1057"/>
          </a:xfrm>
          <a:prstGeom prst="rect">
            <a:avLst/>
          </a:prstGeom>
          <a:solidFill>
            <a:srgbClr val="4D4D4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4" name="Freeform 33">
            <a:extLst>
              <a:ext uri="{FF2B5EF4-FFF2-40B4-BE49-F238E27FC236}">
                <a16:creationId xmlns:a16="http://schemas.microsoft.com/office/drawing/2014/main" id="{908B46F7-82A0-4A23-9C54-7D26C7F8E03E}"/>
              </a:ext>
            </a:extLst>
          </xdr:cNvPr>
          <xdr:cNvSpPr>
            <a:spLocks/>
          </xdr:cNvSpPr>
        </xdr:nvSpPr>
        <xdr:spPr bwMode="auto">
          <a:xfrm>
            <a:off x="0" y="0"/>
            <a:ext cx="12246" cy="2369"/>
          </a:xfrm>
          <a:custGeom>
            <a:avLst/>
            <a:gdLst>
              <a:gd name="T0" fmla="*/ 12246 w 12246"/>
              <a:gd name="T1" fmla="*/ 0 h 2369"/>
              <a:gd name="T2" fmla="*/ 0 w 12246"/>
              <a:gd name="T3" fmla="*/ 0 h 2369"/>
              <a:gd name="T4" fmla="*/ 0 w 12246"/>
              <a:gd name="T5" fmla="*/ 2369 h 2369"/>
              <a:gd name="T6" fmla="*/ 4261 w 12246"/>
              <a:gd name="T7" fmla="*/ 2369 h 2369"/>
              <a:gd name="T8" fmla="*/ 4340 w 12246"/>
              <a:gd name="T9" fmla="*/ 2367 h 2369"/>
              <a:gd name="T10" fmla="*/ 4418 w 12246"/>
              <a:gd name="T11" fmla="*/ 2364 h 2369"/>
              <a:gd name="T12" fmla="*/ 4496 w 12246"/>
              <a:gd name="T13" fmla="*/ 2358 h 2369"/>
              <a:gd name="T14" fmla="*/ 4574 w 12246"/>
              <a:gd name="T15" fmla="*/ 2349 h 2369"/>
              <a:gd name="T16" fmla="*/ 4652 w 12246"/>
              <a:gd name="T17" fmla="*/ 2338 h 2369"/>
              <a:gd name="T18" fmla="*/ 4729 w 12246"/>
              <a:gd name="T19" fmla="*/ 2325 h 2369"/>
              <a:gd name="T20" fmla="*/ 4806 w 12246"/>
              <a:gd name="T21" fmla="*/ 2309 h 2369"/>
              <a:gd name="T22" fmla="*/ 4882 w 12246"/>
              <a:gd name="T23" fmla="*/ 2291 h 2369"/>
              <a:gd name="T24" fmla="*/ 4957 w 12246"/>
              <a:gd name="T25" fmla="*/ 2271 h 2369"/>
              <a:gd name="T26" fmla="*/ 5032 w 12246"/>
              <a:gd name="T27" fmla="*/ 2248 h 2369"/>
              <a:gd name="T28" fmla="*/ 5106 w 12246"/>
              <a:gd name="T29" fmla="*/ 2223 h 2369"/>
              <a:gd name="T30" fmla="*/ 5179 w 12246"/>
              <a:gd name="T31" fmla="*/ 2196 h 2369"/>
              <a:gd name="T32" fmla="*/ 5252 w 12246"/>
              <a:gd name="T33" fmla="*/ 2167 h 2369"/>
              <a:gd name="T34" fmla="*/ 5324 w 12246"/>
              <a:gd name="T35" fmla="*/ 2135 h 2369"/>
              <a:gd name="T36" fmla="*/ 5394 w 12246"/>
              <a:gd name="T37" fmla="*/ 2101 h 2369"/>
              <a:gd name="T38" fmla="*/ 5464 w 12246"/>
              <a:gd name="T39" fmla="*/ 2065 h 2369"/>
              <a:gd name="T40" fmla="*/ 5533 w 12246"/>
              <a:gd name="T41" fmla="*/ 2026 h 2369"/>
              <a:gd name="T42" fmla="*/ 6220 w 12246"/>
              <a:gd name="T43" fmla="*/ 1627 h 2369"/>
              <a:gd name="T44" fmla="*/ 6288 w 12246"/>
              <a:gd name="T45" fmla="*/ 1589 h 2369"/>
              <a:gd name="T46" fmla="*/ 6358 w 12246"/>
              <a:gd name="T47" fmla="*/ 1552 h 2369"/>
              <a:gd name="T48" fmla="*/ 6428 w 12246"/>
              <a:gd name="T49" fmla="*/ 1516 h 2369"/>
              <a:gd name="T50" fmla="*/ 6499 w 12246"/>
              <a:gd name="T51" fmla="*/ 1483 h 2369"/>
              <a:gd name="T52" fmla="*/ 6570 w 12246"/>
              <a:gd name="T53" fmla="*/ 1451 h 2369"/>
              <a:gd name="T54" fmla="*/ 6643 w 12246"/>
              <a:gd name="T55" fmla="*/ 1421 h 2369"/>
              <a:gd name="T56" fmla="*/ 6716 w 12246"/>
              <a:gd name="T57" fmla="*/ 1393 h 2369"/>
              <a:gd name="T58" fmla="*/ 6789 w 12246"/>
              <a:gd name="T59" fmla="*/ 1366 h 2369"/>
              <a:gd name="T60" fmla="*/ 6863 w 12246"/>
              <a:gd name="T61" fmla="*/ 1341 h 2369"/>
              <a:gd name="T62" fmla="*/ 6938 w 12246"/>
              <a:gd name="T63" fmla="*/ 1318 h 2369"/>
              <a:gd name="T64" fmla="*/ 7013 w 12246"/>
              <a:gd name="T65" fmla="*/ 1297 h 2369"/>
              <a:gd name="T66" fmla="*/ 7089 w 12246"/>
              <a:gd name="T67" fmla="*/ 1278 h 2369"/>
              <a:gd name="T68" fmla="*/ 7165 w 12246"/>
              <a:gd name="T69" fmla="*/ 1260 h 2369"/>
              <a:gd name="T70" fmla="*/ 7242 w 12246"/>
              <a:gd name="T71" fmla="*/ 1244 h 2369"/>
              <a:gd name="T72" fmla="*/ 7319 w 12246"/>
              <a:gd name="T73" fmla="*/ 1230 h 2369"/>
              <a:gd name="T74" fmla="*/ 7396 w 12246"/>
              <a:gd name="T75" fmla="*/ 1218 h 2369"/>
              <a:gd name="T76" fmla="*/ 7474 w 12246"/>
              <a:gd name="T77" fmla="*/ 1208 h 2369"/>
              <a:gd name="T78" fmla="*/ 7551 w 12246"/>
              <a:gd name="T79" fmla="*/ 1199 h 2369"/>
              <a:gd name="T80" fmla="*/ 7630 w 12246"/>
              <a:gd name="T81" fmla="*/ 1193 h 2369"/>
              <a:gd name="T82" fmla="*/ 7708 w 12246"/>
              <a:gd name="T83" fmla="*/ 1188 h 2369"/>
              <a:gd name="T84" fmla="*/ 7787 w 12246"/>
              <a:gd name="T85" fmla="*/ 1185 h 2369"/>
              <a:gd name="T86" fmla="*/ 7865 w 12246"/>
              <a:gd name="T87" fmla="*/ 1184 h 2369"/>
              <a:gd name="T88" fmla="*/ 12246 w 12246"/>
              <a:gd name="T89" fmla="*/ 1184 h 2369"/>
              <a:gd name="T90" fmla="*/ 12246 w 12246"/>
              <a:gd name="T91" fmla="*/ 0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2246" h="2369">
                <a:moveTo>
                  <a:pt x="12246" y="0"/>
                </a:move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0"/>
                </a:lnTo>
                <a:close/>
              </a:path>
            </a:pathLst>
          </a:custGeom>
          <a:solidFill>
            <a:srgbClr val="4370B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5" name="Freeform 32">
            <a:extLst>
              <a:ext uri="{FF2B5EF4-FFF2-40B4-BE49-F238E27FC236}">
                <a16:creationId xmlns:a16="http://schemas.microsoft.com/office/drawing/2014/main" id="{B908DEFE-5224-4DF0-A353-A0F3048DADE7}"/>
              </a:ext>
            </a:extLst>
          </xdr:cNvPr>
          <xdr:cNvSpPr>
            <a:spLocks/>
          </xdr:cNvSpPr>
        </xdr:nvSpPr>
        <xdr:spPr bwMode="auto">
          <a:xfrm>
            <a:off x="0" y="0"/>
            <a:ext cx="9130" cy="2369"/>
          </a:xfrm>
          <a:custGeom>
            <a:avLst/>
            <a:gdLst>
              <a:gd name="T0" fmla="*/ 9130 w 9130"/>
              <a:gd name="T1" fmla="*/ 1184 h 2369"/>
              <a:gd name="T2" fmla="*/ 5988 w 9130"/>
              <a:gd name="T3" fmla="*/ 0 h 2369"/>
              <a:gd name="T4" fmla="*/ 3493 w 9130"/>
              <a:gd name="T5" fmla="*/ 0 h 2369"/>
              <a:gd name="T6" fmla="*/ 0 w 9130"/>
              <a:gd name="T7" fmla="*/ 0 h 2369"/>
              <a:gd name="T8" fmla="*/ 0 w 9130"/>
              <a:gd name="T9" fmla="*/ 2369 h 2369"/>
              <a:gd name="T10" fmla="*/ 4261 w 9130"/>
              <a:gd name="T11" fmla="*/ 2369 h 2369"/>
              <a:gd name="T12" fmla="*/ 4340 w 9130"/>
              <a:gd name="T13" fmla="*/ 2367 h 2369"/>
              <a:gd name="T14" fmla="*/ 4418 w 9130"/>
              <a:gd name="T15" fmla="*/ 2364 h 2369"/>
              <a:gd name="T16" fmla="*/ 4496 w 9130"/>
              <a:gd name="T17" fmla="*/ 2358 h 2369"/>
              <a:gd name="T18" fmla="*/ 4574 w 9130"/>
              <a:gd name="T19" fmla="*/ 2349 h 2369"/>
              <a:gd name="T20" fmla="*/ 4652 w 9130"/>
              <a:gd name="T21" fmla="*/ 2338 h 2369"/>
              <a:gd name="T22" fmla="*/ 4729 w 9130"/>
              <a:gd name="T23" fmla="*/ 2325 h 2369"/>
              <a:gd name="T24" fmla="*/ 4806 w 9130"/>
              <a:gd name="T25" fmla="*/ 2309 h 2369"/>
              <a:gd name="T26" fmla="*/ 4882 w 9130"/>
              <a:gd name="T27" fmla="*/ 2291 h 2369"/>
              <a:gd name="T28" fmla="*/ 4957 w 9130"/>
              <a:gd name="T29" fmla="*/ 2271 h 2369"/>
              <a:gd name="T30" fmla="*/ 5032 w 9130"/>
              <a:gd name="T31" fmla="*/ 2248 h 2369"/>
              <a:gd name="T32" fmla="*/ 5106 w 9130"/>
              <a:gd name="T33" fmla="*/ 2223 h 2369"/>
              <a:gd name="T34" fmla="*/ 5179 w 9130"/>
              <a:gd name="T35" fmla="*/ 2196 h 2369"/>
              <a:gd name="T36" fmla="*/ 5252 w 9130"/>
              <a:gd name="T37" fmla="*/ 2167 h 2369"/>
              <a:gd name="T38" fmla="*/ 5324 w 9130"/>
              <a:gd name="T39" fmla="*/ 2135 h 2369"/>
              <a:gd name="T40" fmla="*/ 5394 w 9130"/>
              <a:gd name="T41" fmla="*/ 2101 h 2369"/>
              <a:gd name="T42" fmla="*/ 5464 w 9130"/>
              <a:gd name="T43" fmla="*/ 2065 h 2369"/>
              <a:gd name="T44" fmla="*/ 5533 w 9130"/>
              <a:gd name="T45" fmla="*/ 2026 h 2369"/>
              <a:gd name="T46" fmla="*/ 5880 w 9130"/>
              <a:gd name="T47" fmla="*/ 1824 h 2369"/>
              <a:gd name="T48" fmla="*/ 6220 w 9130"/>
              <a:gd name="T49" fmla="*/ 1627 h 2369"/>
              <a:gd name="T50" fmla="*/ 6288 w 9130"/>
              <a:gd name="T51" fmla="*/ 1589 h 2369"/>
              <a:gd name="T52" fmla="*/ 6358 w 9130"/>
              <a:gd name="T53" fmla="*/ 1552 h 2369"/>
              <a:gd name="T54" fmla="*/ 6428 w 9130"/>
              <a:gd name="T55" fmla="*/ 1516 h 2369"/>
              <a:gd name="T56" fmla="*/ 6499 w 9130"/>
              <a:gd name="T57" fmla="*/ 1483 h 2369"/>
              <a:gd name="T58" fmla="*/ 6570 w 9130"/>
              <a:gd name="T59" fmla="*/ 1451 h 2369"/>
              <a:gd name="T60" fmla="*/ 6643 w 9130"/>
              <a:gd name="T61" fmla="*/ 1421 h 2369"/>
              <a:gd name="T62" fmla="*/ 6716 w 9130"/>
              <a:gd name="T63" fmla="*/ 1393 h 2369"/>
              <a:gd name="T64" fmla="*/ 6789 w 9130"/>
              <a:gd name="T65" fmla="*/ 1366 h 2369"/>
              <a:gd name="T66" fmla="*/ 6863 w 9130"/>
              <a:gd name="T67" fmla="*/ 1341 h 2369"/>
              <a:gd name="T68" fmla="*/ 6938 w 9130"/>
              <a:gd name="T69" fmla="*/ 1318 h 2369"/>
              <a:gd name="T70" fmla="*/ 7013 w 9130"/>
              <a:gd name="T71" fmla="*/ 1297 h 2369"/>
              <a:gd name="T72" fmla="*/ 7089 w 9130"/>
              <a:gd name="T73" fmla="*/ 1278 h 2369"/>
              <a:gd name="T74" fmla="*/ 7165 w 9130"/>
              <a:gd name="T75" fmla="*/ 1260 h 2369"/>
              <a:gd name="T76" fmla="*/ 7242 w 9130"/>
              <a:gd name="T77" fmla="*/ 1244 h 2369"/>
              <a:gd name="T78" fmla="*/ 7319 w 9130"/>
              <a:gd name="T79" fmla="*/ 1230 h 2369"/>
              <a:gd name="T80" fmla="*/ 7396 w 9130"/>
              <a:gd name="T81" fmla="*/ 1218 h 2369"/>
              <a:gd name="T82" fmla="*/ 7473 w 9130"/>
              <a:gd name="T83" fmla="*/ 1208 h 2369"/>
              <a:gd name="T84" fmla="*/ 7551 w 9130"/>
              <a:gd name="T85" fmla="*/ 1199 h 2369"/>
              <a:gd name="T86" fmla="*/ 7630 w 9130"/>
              <a:gd name="T87" fmla="*/ 1193 h 2369"/>
              <a:gd name="T88" fmla="*/ 7708 w 9130"/>
              <a:gd name="T89" fmla="*/ 1188 h 2369"/>
              <a:gd name="T90" fmla="*/ 7787 w 9130"/>
              <a:gd name="T91" fmla="*/ 1185 h 2369"/>
              <a:gd name="T92" fmla="*/ 7865 w 9130"/>
              <a:gd name="T93" fmla="*/ 1184 h 2369"/>
              <a:gd name="T94" fmla="*/ 9130 w 9130"/>
              <a:gd name="T95" fmla="*/ 1184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9130" h="2369">
                <a:moveTo>
                  <a:pt x="9130" y="1184"/>
                </a:moveTo>
                <a:lnTo>
                  <a:pt x="5988" y="0"/>
                </a:lnTo>
                <a:lnTo>
                  <a:pt x="3493" y="0"/>
                </a:ln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5880" y="1824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3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9130" y="1184"/>
                </a:lnTo>
              </a:path>
            </a:pathLst>
          </a:custGeom>
          <a:solidFill>
            <a:srgbClr val="2758A8">
              <a:alpha val="29999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6" name="AutoShape 31">
            <a:extLst>
              <a:ext uri="{FF2B5EF4-FFF2-40B4-BE49-F238E27FC236}">
                <a16:creationId xmlns:a16="http://schemas.microsoft.com/office/drawing/2014/main" id="{31B4389B-3A47-4BC9-9EDE-65BB4BA9EE40}"/>
              </a:ext>
            </a:extLst>
          </xdr:cNvPr>
          <xdr:cNvSpPr>
            <a:spLocks/>
          </xdr:cNvSpPr>
        </xdr:nvSpPr>
        <xdr:spPr bwMode="auto">
          <a:xfrm>
            <a:off x="0" y="50"/>
            <a:ext cx="12246" cy="2369"/>
          </a:xfrm>
          <a:custGeom>
            <a:avLst/>
            <a:gdLst>
              <a:gd name="T0" fmla="*/ 7695 w 12246"/>
              <a:gd name="T1" fmla="+- 0 1042 50"/>
              <a:gd name="T2" fmla="*/ 1042 h 2369"/>
              <a:gd name="T3" fmla="*/ 7538 w 12246"/>
              <a:gd name="T4" fmla="+- 0 1046 50"/>
              <a:gd name="T5" fmla="*/ 1046 h 2369"/>
              <a:gd name="T6" fmla="*/ 7381 w 12246"/>
              <a:gd name="T7" fmla="+- 0 1057 50"/>
              <a:gd name="T8" fmla="*/ 1057 h 2369"/>
              <a:gd name="T9" fmla="*/ 7226 w 12246"/>
              <a:gd name="T10" fmla="+- 0 1076 50"/>
              <a:gd name="T11" fmla="*/ 1076 h 2369"/>
              <a:gd name="T12" fmla="*/ 7072 w 12246"/>
              <a:gd name="T13" fmla="+- 0 1102 50"/>
              <a:gd name="T14" fmla="*/ 1102 h 2369"/>
              <a:gd name="T15" fmla="*/ 6919 w 12246"/>
              <a:gd name="T16" fmla="+- 0 1136 50"/>
              <a:gd name="T17" fmla="*/ 1136 h 2369"/>
              <a:gd name="T18" fmla="*/ 6768 w 12246"/>
              <a:gd name="T19" fmla="+- 0 1176 50"/>
              <a:gd name="T20" fmla="*/ 1176 h 2369"/>
              <a:gd name="T21" fmla="*/ 6619 w 12246"/>
              <a:gd name="T22" fmla="+- 0 1224 50"/>
              <a:gd name="T23" fmla="*/ 1224 h 2369"/>
              <a:gd name="T24" fmla="*/ 6473 w 12246"/>
              <a:gd name="T25" fmla="+- 0 1279 50"/>
              <a:gd name="T26" fmla="*/ 1279 h 2369"/>
              <a:gd name="T27" fmla="*/ 6329 w 12246"/>
              <a:gd name="T28" fmla="+- 0 1341 50"/>
              <a:gd name="T29" fmla="*/ 1341 h 2369"/>
              <a:gd name="T30" fmla="*/ 6188 w 12246"/>
              <a:gd name="T31" fmla="+- 0 1410 50"/>
              <a:gd name="T32" fmla="*/ 1410 h 2369"/>
              <a:gd name="T33" fmla="*/ 6050 w 12246"/>
              <a:gd name="T34" fmla="+- 0 1485 50"/>
              <a:gd name="T35" fmla="*/ 1485 h 2369"/>
              <a:gd name="T36" fmla="*/ 5294 w 12246"/>
              <a:gd name="T37" fmla="+- 0 1923 50"/>
              <a:gd name="T38" fmla="*/ 1923 h 2369"/>
              <a:gd name="T39" fmla="*/ 5154 w 12246"/>
              <a:gd name="T40" fmla="+- 0 1993 50"/>
              <a:gd name="T41" fmla="*/ 1993 h 2369"/>
              <a:gd name="T42" fmla="*/ 5009 w 12246"/>
              <a:gd name="T43" fmla="+- 0 2054 50"/>
              <a:gd name="T44" fmla="*/ 2054 h 2369"/>
              <a:gd name="T45" fmla="*/ 4862 w 12246"/>
              <a:gd name="T46" fmla="+- 0 2106 50"/>
              <a:gd name="T47" fmla="*/ 2106 h 2369"/>
              <a:gd name="T48" fmla="*/ 4712 w 12246"/>
              <a:gd name="T49" fmla="+- 0 2149 50"/>
              <a:gd name="T50" fmla="*/ 2149 h 2369"/>
              <a:gd name="T51" fmla="*/ 4559 w 12246"/>
              <a:gd name="T52" fmla="+- 0 2183 50"/>
              <a:gd name="T53" fmla="*/ 2183 h 2369"/>
              <a:gd name="T54" fmla="*/ 4404 w 12246"/>
              <a:gd name="T55" fmla="+- 0 2207 50"/>
              <a:gd name="T56" fmla="*/ 2207 h 2369"/>
              <a:gd name="T57" fmla="*/ 4248 w 12246"/>
              <a:gd name="T58" fmla="+- 0 2222 50"/>
              <a:gd name="T59" fmla="*/ 2222 h 2369"/>
              <a:gd name="T60" fmla="*/ 4091 w 12246"/>
              <a:gd name="T61" fmla="+- 0 2227 50"/>
              <a:gd name="T62" fmla="*/ 2227 h 2369"/>
              <a:gd name="T63" fmla="*/ 0 w 12246"/>
              <a:gd name="T64" fmla="+- 0 2419 50"/>
              <a:gd name="T65" fmla="*/ 2419 h 2369"/>
              <a:gd name="T66" fmla="*/ 4340 w 12246"/>
              <a:gd name="T67" fmla="+- 0 2417 50"/>
              <a:gd name="T68" fmla="*/ 2417 h 2369"/>
              <a:gd name="T69" fmla="*/ 4496 w 12246"/>
              <a:gd name="T70" fmla="+- 0 2408 50"/>
              <a:gd name="T71" fmla="*/ 2408 h 2369"/>
              <a:gd name="T72" fmla="*/ 4652 w 12246"/>
              <a:gd name="T73" fmla="+- 0 2388 50"/>
              <a:gd name="T74" fmla="*/ 2388 h 2369"/>
              <a:gd name="T75" fmla="*/ 4806 w 12246"/>
              <a:gd name="T76" fmla="+- 0 2359 50"/>
              <a:gd name="T77" fmla="*/ 2359 h 2369"/>
              <a:gd name="T78" fmla="*/ 4957 w 12246"/>
              <a:gd name="T79" fmla="+- 0 2321 50"/>
              <a:gd name="T80" fmla="*/ 2321 h 2369"/>
              <a:gd name="T81" fmla="*/ 5106 w 12246"/>
              <a:gd name="T82" fmla="+- 0 2273 50"/>
              <a:gd name="T83" fmla="*/ 2273 h 2369"/>
              <a:gd name="T84" fmla="*/ 5252 w 12246"/>
              <a:gd name="T85" fmla="+- 0 2217 50"/>
              <a:gd name="T86" fmla="*/ 2217 h 2369"/>
              <a:gd name="T87" fmla="*/ 5394 w 12246"/>
              <a:gd name="T88" fmla="+- 0 2151 50"/>
              <a:gd name="T89" fmla="*/ 2151 h 2369"/>
              <a:gd name="T90" fmla="*/ 5533 w 12246"/>
              <a:gd name="T91" fmla="+- 0 2076 50"/>
              <a:gd name="T92" fmla="*/ 2076 h 2369"/>
              <a:gd name="T93" fmla="*/ 6288 w 12246"/>
              <a:gd name="T94" fmla="+- 0 1639 50"/>
              <a:gd name="T95" fmla="*/ 1639 h 2369"/>
              <a:gd name="T96" fmla="*/ 6428 w 12246"/>
              <a:gd name="T97" fmla="+- 0 1566 50"/>
              <a:gd name="T98" fmla="*/ 1566 h 2369"/>
              <a:gd name="T99" fmla="*/ 6570 w 12246"/>
              <a:gd name="T100" fmla="+- 0 1501 50"/>
              <a:gd name="T101" fmla="*/ 1501 h 2369"/>
              <a:gd name="T102" fmla="*/ 6716 w 12246"/>
              <a:gd name="T103" fmla="+- 0 1443 50"/>
              <a:gd name="T104" fmla="*/ 1443 h 2369"/>
              <a:gd name="T105" fmla="*/ 6863 w 12246"/>
              <a:gd name="T106" fmla="+- 0 1391 50"/>
              <a:gd name="T107" fmla="*/ 1391 h 2369"/>
              <a:gd name="T108" fmla="*/ 7013 w 12246"/>
              <a:gd name="T109" fmla="+- 0 1347 50"/>
              <a:gd name="T110" fmla="*/ 1347 h 2369"/>
              <a:gd name="T111" fmla="*/ 7165 w 12246"/>
              <a:gd name="T112" fmla="+- 0 1310 50"/>
              <a:gd name="T113" fmla="*/ 1310 h 2369"/>
              <a:gd name="T114" fmla="*/ 7319 w 12246"/>
              <a:gd name="T115" fmla="+- 0 1280 50"/>
              <a:gd name="T116" fmla="*/ 1280 h 2369"/>
              <a:gd name="T117" fmla="*/ 7474 w 12246"/>
              <a:gd name="T118" fmla="+- 0 1258 50"/>
              <a:gd name="T119" fmla="*/ 1258 h 2369"/>
              <a:gd name="T120" fmla="*/ 7630 w 12246"/>
              <a:gd name="T121" fmla="+- 0 1243 50"/>
              <a:gd name="T122" fmla="*/ 1243 h 2369"/>
              <a:gd name="T123" fmla="*/ 7787 w 12246"/>
              <a:gd name="T124" fmla="+- 0 1235 50"/>
              <a:gd name="T125" fmla="*/ 1235 h 2369"/>
              <a:gd name="T126" fmla="*/ 12246 w 12246"/>
              <a:gd name="T127" fmla="+- 0 1234 50"/>
              <a:gd name="T128" fmla="*/ 1234 h 2369"/>
              <a:gd name="T129" fmla="*/ 12246 w 12246"/>
              <a:gd name="T130" fmla="+- 0 50 50"/>
              <a:gd name="T131" fmla="*/ 50 h 2369"/>
              <a:gd name="T132" fmla="*/ 12246 w 12246"/>
              <a:gd name="T133" fmla="+- 0 59 50"/>
              <a:gd name="T134" fmla="*/ 59 h 2369"/>
            </a:gdLst>
            <a:ahLst/>
            <a:cxnLst>
              <a:cxn ang="0">
                <a:pos x="T0" y="T2"/>
              </a:cxn>
              <a:cxn ang="0">
                <a:pos x="T3" y="T5"/>
              </a:cxn>
              <a:cxn ang="0">
                <a:pos x="T6" y="T8"/>
              </a:cxn>
              <a:cxn ang="0">
                <a:pos x="T9" y="T11"/>
              </a:cxn>
              <a:cxn ang="0">
                <a:pos x="T12" y="T14"/>
              </a:cxn>
              <a:cxn ang="0">
                <a:pos x="T15" y="T17"/>
              </a:cxn>
              <a:cxn ang="0">
                <a:pos x="T18" y="T20"/>
              </a:cxn>
              <a:cxn ang="0">
                <a:pos x="T21" y="T23"/>
              </a:cxn>
              <a:cxn ang="0">
                <a:pos x="T24" y="T26"/>
              </a:cxn>
              <a:cxn ang="0">
                <a:pos x="T27" y="T29"/>
              </a:cxn>
              <a:cxn ang="0">
                <a:pos x="T30" y="T32"/>
              </a:cxn>
              <a:cxn ang="0">
                <a:pos x="T33" y="T35"/>
              </a:cxn>
              <a:cxn ang="0">
                <a:pos x="T36" y="T38"/>
              </a:cxn>
              <a:cxn ang="0">
                <a:pos x="T39" y="T41"/>
              </a:cxn>
              <a:cxn ang="0">
                <a:pos x="T42" y="T44"/>
              </a:cxn>
              <a:cxn ang="0">
                <a:pos x="T45" y="T47"/>
              </a:cxn>
              <a:cxn ang="0">
                <a:pos x="T48" y="T50"/>
              </a:cxn>
              <a:cxn ang="0">
                <a:pos x="T51" y="T53"/>
              </a:cxn>
              <a:cxn ang="0">
                <a:pos x="T54" y="T56"/>
              </a:cxn>
              <a:cxn ang="0">
                <a:pos x="T57" y="T59"/>
              </a:cxn>
              <a:cxn ang="0">
                <a:pos x="T60" y="T62"/>
              </a:cxn>
              <a:cxn ang="0">
                <a:pos x="T63" y="T65"/>
              </a:cxn>
              <a:cxn ang="0">
                <a:pos x="T66" y="T68"/>
              </a:cxn>
              <a:cxn ang="0">
                <a:pos x="T69" y="T71"/>
              </a:cxn>
              <a:cxn ang="0">
                <a:pos x="T72" y="T74"/>
              </a:cxn>
              <a:cxn ang="0">
                <a:pos x="T75" y="T77"/>
              </a:cxn>
              <a:cxn ang="0">
                <a:pos x="T78" y="T80"/>
              </a:cxn>
              <a:cxn ang="0">
                <a:pos x="T81" y="T83"/>
              </a:cxn>
              <a:cxn ang="0">
                <a:pos x="T84" y="T86"/>
              </a:cxn>
              <a:cxn ang="0">
                <a:pos x="T87" y="T89"/>
              </a:cxn>
              <a:cxn ang="0">
                <a:pos x="T90" y="T92"/>
              </a:cxn>
              <a:cxn ang="0">
                <a:pos x="T93" y="T95"/>
              </a:cxn>
              <a:cxn ang="0">
                <a:pos x="T96" y="T98"/>
              </a:cxn>
              <a:cxn ang="0">
                <a:pos x="T99" y="T101"/>
              </a:cxn>
              <a:cxn ang="0">
                <a:pos x="T102" y="T104"/>
              </a:cxn>
              <a:cxn ang="0">
                <a:pos x="T105" y="T107"/>
              </a:cxn>
              <a:cxn ang="0">
                <a:pos x="T108" y="T110"/>
              </a:cxn>
              <a:cxn ang="0">
                <a:pos x="T111" y="T113"/>
              </a:cxn>
              <a:cxn ang="0">
                <a:pos x="T114" y="T116"/>
              </a:cxn>
              <a:cxn ang="0">
                <a:pos x="T117" y="T119"/>
              </a:cxn>
              <a:cxn ang="0">
                <a:pos x="T120" y="T122"/>
              </a:cxn>
              <a:cxn ang="0">
                <a:pos x="T123" y="T125"/>
              </a:cxn>
              <a:cxn ang="0">
                <a:pos x="T126" y="T128"/>
              </a:cxn>
              <a:cxn ang="0">
                <a:pos x="T129" y="T131"/>
              </a:cxn>
              <a:cxn ang="0">
                <a:pos x="T132" y="T134"/>
              </a:cxn>
            </a:cxnLst>
            <a:rect l="0" t="0" r="r" b="b"/>
            <a:pathLst>
              <a:path w="12246" h="2369">
                <a:moveTo>
                  <a:pt x="12246" y="992"/>
                </a:moveTo>
                <a:lnTo>
                  <a:pt x="7695" y="992"/>
                </a:lnTo>
                <a:lnTo>
                  <a:pt x="7617" y="993"/>
                </a:lnTo>
                <a:lnTo>
                  <a:pt x="7538" y="996"/>
                </a:lnTo>
                <a:lnTo>
                  <a:pt x="7460" y="1001"/>
                </a:lnTo>
                <a:lnTo>
                  <a:pt x="7381" y="1007"/>
                </a:lnTo>
                <a:lnTo>
                  <a:pt x="7303" y="1016"/>
                </a:lnTo>
                <a:lnTo>
                  <a:pt x="7226" y="1026"/>
                </a:lnTo>
                <a:lnTo>
                  <a:pt x="7148" y="1038"/>
                </a:lnTo>
                <a:lnTo>
                  <a:pt x="7072" y="1052"/>
                </a:lnTo>
                <a:lnTo>
                  <a:pt x="6995" y="1068"/>
                </a:lnTo>
                <a:lnTo>
                  <a:pt x="6919" y="1086"/>
                </a:lnTo>
                <a:lnTo>
                  <a:pt x="6843" y="1105"/>
                </a:lnTo>
                <a:lnTo>
                  <a:pt x="6768" y="1126"/>
                </a:lnTo>
                <a:lnTo>
                  <a:pt x="6693" y="1149"/>
                </a:lnTo>
                <a:lnTo>
                  <a:pt x="6619" y="1174"/>
                </a:lnTo>
                <a:lnTo>
                  <a:pt x="6545" y="1201"/>
                </a:lnTo>
                <a:lnTo>
                  <a:pt x="6473" y="1229"/>
                </a:lnTo>
                <a:lnTo>
                  <a:pt x="6400" y="1259"/>
                </a:lnTo>
                <a:lnTo>
                  <a:pt x="6329" y="1291"/>
                </a:lnTo>
                <a:lnTo>
                  <a:pt x="6258" y="1324"/>
                </a:lnTo>
                <a:lnTo>
                  <a:pt x="6188" y="1360"/>
                </a:lnTo>
                <a:lnTo>
                  <a:pt x="6118" y="1397"/>
                </a:lnTo>
                <a:lnTo>
                  <a:pt x="6050" y="1435"/>
                </a:lnTo>
                <a:lnTo>
                  <a:pt x="5363" y="1834"/>
                </a:lnTo>
                <a:lnTo>
                  <a:pt x="5294" y="1873"/>
                </a:lnTo>
                <a:lnTo>
                  <a:pt x="5224" y="1909"/>
                </a:lnTo>
                <a:lnTo>
                  <a:pt x="5154" y="1943"/>
                </a:lnTo>
                <a:lnTo>
                  <a:pt x="5082" y="1975"/>
                </a:lnTo>
                <a:lnTo>
                  <a:pt x="5009" y="2004"/>
                </a:lnTo>
                <a:lnTo>
                  <a:pt x="4936" y="2031"/>
                </a:lnTo>
                <a:lnTo>
                  <a:pt x="4862" y="2056"/>
                </a:lnTo>
                <a:lnTo>
                  <a:pt x="4787" y="2079"/>
                </a:lnTo>
                <a:lnTo>
                  <a:pt x="4712" y="2099"/>
                </a:lnTo>
                <a:lnTo>
                  <a:pt x="4635" y="2117"/>
                </a:lnTo>
                <a:lnTo>
                  <a:pt x="4559" y="2133"/>
                </a:lnTo>
                <a:lnTo>
                  <a:pt x="4482" y="2146"/>
                </a:lnTo>
                <a:lnTo>
                  <a:pt x="4404" y="2157"/>
                </a:lnTo>
                <a:lnTo>
                  <a:pt x="4326" y="2166"/>
                </a:lnTo>
                <a:lnTo>
                  <a:pt x="4248" y="2172"/>
                </a:lnTo>
                <a:lnTo>
                  <a:pt x="4169" y="2175"/>
                </a:lnTo>
                <a:lnTo>
                  <a:pt x="4091" y="2177"/>
                </a:lnTo>
                <a:lnTo>
                  <a:pt x="0" y="2177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992"/>
                </a:lnTo>
                <a:moveTo>
                  <a:pt x="12246" y="0"/>
                </a:moveTo>
                <a:lnTo>
                  <a:pt x="12238" y="0"/>
                </a:lnTo>
                <a:lnTo>
                  <a:pt x="12246" y="9"/>
                </a:lnTo>
                <a:lnTo>
                  <a:pt x="12246" y="0"/>
                </a:lnTo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7" name="AutoShape 30">
            <a:extLst>
              <a:ext uri="{FF2B5EF4-FFF2-40B4-BE49-F238E27FC236}">
                <a16:creationId xmlns:a16="http://schemas.microsoft.com/office/drawing/2014/main" id="{A108BED4-518F-4B44-AFF8-FA81F1D52F80}"/>
              </a:ext>
            </a:extLst>
          </xdr:cNvPr>
          <xdr:cNvSpPr>
            <a:spLocks/>
          </xdr:cNvSpPr>
        </xdr:nvSpPr>
        <xdr:spPr bwMode="auto">
          <a:xfrm>
            <a:off x="759" y="759"/>
            <a:ext cx="3046" cy="850"/>
          </a:xfrm>
          <a:custGeom>
            <a:avLst/>
            <a:gdLst>
              <a:gd name="T0" fmla="+- 0 2906 760"/>
              <a:gd name="T1" fmla="*/ T0 w 3046"/>
              <a:gd name="T2" fmla="+- 0 1248 760"/>
              <a:gd name="T3" fmla="*/ 1248 h 850"/>
              <a:gd name="T4" fmla="+- 0 2822 760"/>
              <a:gd name="T5" fmla="*/ T4 w 3046"/>
              <a:gd name="T6" fmla="+- 0 1166 760"/>
              <a:gd name="T7" fmla="*/ 1166 h 850"/>
              <a:gd name="T8" fmla="+- 0 2829 760"/>
              <a:gd name="T9" fmla="*/ T8 w 3046"/>
              <a:gd name="T10" fmla="+- 0 1140 760"/>
              <a:gd name="T11" fmla="*/ 1140 h 850"/>
              <a:gd name="T12" fmla="+- 0 2868 760"/>
              <a:gd name="T13" fmla="*/ T12 w 3046"/>
              <a:gd name="T14" fmla="+- 0 1108 760"/>
              <a:gd name="T15" fmla="*/ 1108 h 850"/>
              <a:gd name="T16" fmla="+- 0 2897 760"/>
              <a:gd name="T17" fmla="*/ T16 w 3046"/>
              <a:gd name="T18" fmla="+- 0 1061 760"/>
              <a:gd name="T19" fmla="*/ 1061 h 850"/>
              <a:gd name="T20" fmla="+- 0 2911 760"/>
              <a:gd name="T21" fmla="*/ T20 w 3046"/>
              <a:gd name="T22" fmla="+- 0 996 760"/>
              <a:gd name="T23" fmla="*/ 996 h 850"/>
              <a:gd name="T24" fmla="+- 0 2901 760"/>
              <a:gd name="T25" fmla="*/ T24 w 3046"/>
              <a:gd name="T26" fmla="+- 0 906 760"/>
              <a:gd name="T27" fmla="*/ 906 h 850"/>
              <a:gd name="T28" fmla="+- 0 2868 760"/>
              <a:gd name="T29" fmla="*/ T28 w 3046"/>
              <a:gd name="T30" fmla="+- 0 845 760"/>
              <a:gd name="T31" fmla="*/ 845 h 850"/>
              <a:gd name="T32" fmla="+- 0 2797 760"/>
              <a:gd name="T33" fmla="*/ T32 w 3046"/>
              <a:gd name="T34" fmla="+- 0 791 760"/>
              <a:gd name="T35" fmla="*/ 791 h 850"/>
              <a:gd name="T36" fmla="+- 0 2774 760"/>
              <a:gd name="T37" fmla="*/ T36 w 3046"/>
              <a:gd name="T38" fmla="+- 0 1370 760"/>
              <a:gd name="T39" fmla="*/ 1370 h 850"/>
              <a:gd name="T40" fmla="+- 0 2748 760"/>
              <a:gd name="T41" fmla="*/ T40 w 3046"/>
              <a:gd name="T42" fmla="+- 0 1412 760"/>
              <a:gd name="T43" fmla="*/ 1412 h 850"/>
              <a:gd name="T44" fmla="+- 0 2700 760"/>
              <a:gd name="T45" fmla="*/ T44 w 3046"/>
              <a:gd name="T46" fmla="+- 0 1439 760"/>
              <a:gd name="T47" fmla="*/ 1439 h 850"/>
              <a:gd name="T48" fmla="+- 0 2634 760"/>
              <a:gd name="T49" fmla="*/ T48 w 3046"/>
              <a:gd name="T50" fmla="+- 0 1451 760"/>
              <a:gd name="T51" fmla="*/ 1451 h 850"/>
              <a:gd name="T52" fmla="+- 0 2173 760"/>
              <a:gd name="T53" fmla="*/ T52 w 3046"/>
              <a:gd name="T54" fmla="+- 0 906 760"/>
              <a:gd name="T55" fmla="*/ 906 h 850"/>
              <a:gd name="T56" fmla="+- 0 2641 760"/>
              <a:gd name="T57" fmla="*/ T56 w 3046"/>
              <a:gd name="T58" fmla="+- 0 908 760"/>
              <a:gd name="T59" fmla="*/ 908 h 850"/>
              <a:gd name="T60" fmla="+- 0 2701 760"/>
              <a:gd name="T61" fmla="*/ T60 w 3046"/>
              <a:gd name="T62" fmla="+- 0 919 760"/>
              <a:gd name="T63" fmla="*/ 919 h 850"/>
              <a:gd name="T64" fmla="+- 0 2743 760"/>
              <a:gd name="T65" fmla="*/ T64 w 3046"/>
              <a:gd name="T66" fmla="+- 0 946 760"/>
              <a:gd name="T67" fmla="*/ 946 h 850"/>
              <a:gd name="T68" fmla="+- 0 2762 760"/>
              <a:gd name="T69" fmla="*/ T68 w 3046"/>
              <a:gd name="T70" fmla="+- 0 993 760"/>
              <a:gd name="T71" fmla="*/ 993 h 850"/>
              <a:gd name="T72" fmla="+- 0 2746 760"/>
              <a:gd name="T73" fmla="*/ T72 w 3046"/>
              <a:gd name="T74" fmla="+- 0 1074 760"/>
              <a:gd name="T75" fmla="*/ 1074 h 850"/>
              <a:gd name="T76" fmla="+- 0 2670 760"/>
              <a:gd name="T77" fmla="*/ T76 w 3046"/>
              <a:gd name="T78" fmla="+- 0 1109 760"/>
              <a:gd name="T79" fmla="*/ 1109 h 850"/>
              <a:gd name="T80" fmla="+- 0 2651 760"/>
              <a:gd name="T81" fmla="*/ T80 w 3046"/>
              <a:gd name="T82" fmla="+- 0 1233 760"/>
              <a:gd name="T83" fmla="*/ 1233 h 850"/>
              <a:gd name="T84" fmla="+- 0 2745 760"/>
              <a:gd name="T85" fmla="*/ T84 w 3046"/>
              <a:gd name="T86" fmla="+- 0 1261 760"/>
              <a:gd name="T87" fmla="*/ 1261 h 850"/>
              <a:gd name="T88" fmla="+- 0 2778 760"/>
              <a:gd name="T89" fmla="*/ T88 w 3046"/>
              <a:gd name="T90" fmla="+- 0 1341 760"/>
              <a:gd name="T91" fmla="*/ 1341 h 850"/>
              <a:gd name="T92" fmla="+- 0 2725 760"/>
              <a:gd name="T93" fmla="*/ T92 w 3046"/>
              <a:gd name="T94" fmla="+- 0 767 760"/>
              <a:gd name="T95" fmla="*/ 767 h 850"/>
              <a:gd name="T96" fmla="+- 0 2187 760"/>
              <a:gd name="T97" fmla="*/ T96 w 3046"/>
              <a:gd name="T98" fmla="+- 0 760 760"/>
              <a:gd name="T99" fmla="*/ 760 h 850"/>
              <a:gd name="T100" fmla="+- 0 1639 760"/>
              <a:gd name="T101" fmla="*/ T100 w 3046"/>
              <a:gd name="T102" fmla="+- 0 1317 760"/>
              <a:gd name="T103" fmla="*/ 1317 h 850"/>
              <a:gd name="T104" fmla="+- 0 1274 760"/>
              <a:gd name="T105" fmla="*/ T104 w 3046"/>
              <a:gd name="T106" fmla="+- 0 1404 760"/>
              <a:gd name="T107" fmla="*/ 1404 h 850"/>
              <a:gd name="T108" fmla="+- 0 1207 760"/>
              <a:gd name="T109" fmla="*/ T108 w 3046"/>
              <a:gd name="T110" fmla="+- 0 1583 760"/>
              <a:gd name="T111" fmla="*/ 1583 h 850"/>
              <a:gd name="T112" fmla="+- 0 1280 760"/>
              <a:gd name="T113" fmla="*/ T112 w 3046"/>
              <a:gd name="T114" fmla="+- 0 1608 760"/>
              <a:gd name="T115" fmla="*/ 1608 h 850"/>
              <a:gd name="T116" fmla="+- 0 1321 760"/>
              <a:gd name="T117" fmla="*/ T116 w 3046"/>
              <a:gd name="T118" fmla="+- 0 1591 760"/>
              <a:gd name="T119" fmla="*/ 1591 h 850"/>
              <a:gd name="T120" fmla="+- 0 1428 760"/>
              <a:gd name="T121" fmla="*/ T120 w 3046"/>
              <a:gd name="T122" fmla="+- 0 1404 760"/>
              <a:gd name="T123" fmla="*/ 1404 h 850"/>
              <a:gd name="T124" fmla="+- 0 1618 760"/>
              <a:gd name="T125" fmla="*/ T124 w 3046"/>
              <a:gd name="T126" fmla="+- 0 1583 760"/>
              <a:gd name="T127" fmla="*/ 1583 h 850"/>
              <a:gd name="T128" fmla="+- 0 1656 760"/>
              <a:gd name="T129" fmla="*/ T128 w 3046"/>
              <a:gd name="T130" fmla="+- 0 1606 760"/>
              <a:gd name="T131" fmla="*/ 1606 h 850"/>
              <a:gd name="T132" fmla="+- 0 1700 760"/>
              <a:gd name="T133" fmla="*/ T132 w 3046"/>
              <a:gd name="T134" fmla="+- 0 1606 760"/>
              <a:gd name="T135" fmla="*/ 1606 h 850"/>
              <a:gd name="T136" fmla="+- 0 1739 760"/>
              <a:gd name="T137" fmla="*/ T136 w 3046"/>
              <a:gd name="T138" fmla="+- 0 1583 760"/>
              <a:gd name="T139" fmla="*/ 1583 h 850"/>
              <a:gd name="T140" fmla="+- 0 2027 760"/>
              <a:gd name="T141" fmla="*/ T140 w 3046"/>
              <a:gd name="T142" fmla="+- 0 1057 760"/>
              <a:gd name="T143" fmla="*/ 1057 h 850"/>
              <a:gd name="T144" fmla="+- 0 2715 760"/>
              <a:gd name="T145" fmla="*/ T144 w 3046"/>
              <a:gd name="T146" fmla="+- 0 1593 760"/>
              <a:gd name="T147" fmla="*/ 1593 h 850"/>
              <a:gd name="T148" fmla="+- 0 2814 760"/>
              <a:gd name="T149" fmla="*/ T148 w 3046"/>
              <a:gd name="T150" fmla="+- 0 1558 760"/>
              <a:gd name="T151" fmla="*/ 1558 h 850"/>
              <a:gd name="T152" fmla="+- 0 2884 760"/>
              <a:gd name="T153" fmla="*/ T152 w 3046"/>
              <a:gd name="T154" fmla="+- 0 1492 760"/>
              <a:gd name="T155" fmla="*/ 1492 h 850"/>
              <a:gd name="T156" fmla="+- 0 2915 760"/>
              <a:gd name="T157" fmla="*/ T156 w 3046"/>
              <a:gd name="T158" fmla="+- 0 1424 760"/>
              <a:gd name="T159" fmla="*/ 1424 h 850"/>
              <a:gd name="T160" fmla="+- 0 3516 760"/>
              <a:gd name="T161" fmla="*/ T160 w 3046"/>
              <a:gd name="T162" fmla="+- 0 818 760"/>
              <a:gd name="T163" fmla="*/ 818 h 850"/>
              <a:gd name="T164" fmla="+- 0 3253 760"/>
              <a:gd name="T165" fmla="*/ T164 w 3046"/>
              <a:gd name="T166" fmla="+- 0 818 760"/>
              <a:gd name="T167" fmla="*/ 818 h 850"/>
              <a:gd name="T168" fmla="+- 0 3119 760"/>
              <a:gd name="T169" fmla="*/ T168 w 3046"/>
              <a:gd name="T170" fmla="+- 0 818 760"/>
              <a:gd name="T171" fmla="*/ 818 h 850"/>
              <a:gd name="T172" fmla="+- 0 3214 760"/>
              <a:gd name="T173" fmla="*/ T172 w 3046"/>
              <a:gd name="T174" fmla="+- 0 1088 760"/>
              <a:gd name="T175" fmla="*/ 1088 h 850"/>
              <a:gd name="T176" fmla="+- 0 3242 760"/>
              <a:gd name="T177" fmla="*/ T176 w 3046"/>
              <a:gd name="T178" fmla="+- 0 1082 760"/>
              <a:gd name="T179" fmla="*/ 1082 h 850"/>
              <a:gd name="T180" fmla="+- 0 3290 760"/>
              <a:gd name="T181" fmla="*/ T180 w 3046"/>
              <a:gd name="T182" fmla="+- 0 995 760"/>
              <a:gd name="T183" fmla="*/ 995 h 850"/>
              <a:gd name="T184" fmla="+- 0 3350 760"/>
              <a:gd name="T185" fmla="*/ T184 w 3046"/>
              <a:gd name="T186" fmla="+- 0 1088 760"/>
              <a:gd name="T187" fmla="*/ 1088 h 850"/>
              <a:gd name="T188" fmla="+- 0 3376 760"/>
              <a:gd name="T189" fmla="*/ T188 w 3046"/>
              <a:gd name="T190" fmla="+- 0 1078 760"/>
              <a:gd name="T191" fmla="*/ 1078 h 850"/>
              <a:gd name="T192" fmla="+- 0 3759 760"/>
              <a:gd name="T193" fmla="*/ T192 w 3046"/>
              <a:gd name="T194" fmla="+- 0 969 760"/>
              <a:gd name="T195" fmla="*/ 969 h 8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3046" h="850">
                <a:moveTo>
                  <a:pt x="2166" y="584"/>
                </a:moveTo>
                <a:lnTo>
                  <a:pt x="2164" y="549"/>
                </a:lnTo>
                <a:lnTo>
                  <a:pt x="2157" y="517"/>
                </a:lnTo>
                <a:lnTo>
                  <a:pt x="2146" y="488"/>
                </a:lnTo>
                <a:lnTo>
                  <a:pt x="2129" y="462"/>
                </a:lnTo>
                <a:lnTo>
                  <a:pt x="2110" y="440"/>
                </a:lnTo>
                <a:lnTo>
                  <a:pt x="2087" y="421"/>
                </a:lnTo>
                <a:lnTo>
                  <a:pt x="2062" y="406"/>
                </a:lnTo>
                <a:lnTo>
                  <a:pt x="2035" y="395"/>
                </a:lnTo>
                <a:lnTo>
                  <a:pt x="2046" y="391"/>
                </a:lnTo>
                <a:lnTo>
                  <a:pt x="2058" y="386"/>
                </a:lnTo>
                <a:lnTo>
                  <a:pt x="2069" y="380"/>
                </a:lnTo>
                <a:lnTo>
                  <a:pt x="2079" y="374"/>
                </a:lnTo>
                <a:lnTo>
                  <a:pt x="2090" y="366"/>
                </a:lnTo>
                <a:lnTo>
                  <a:pt x="2099" y="358"/>
                </a:lnTo>
                <a:lnTo>
                  <a:pt x="2108" y="348"/>
                </a:lnTo>
                <a:lnTo>
                  <a:pt x="2117" y="338"/>
                </a:lnTo>
                <a:lnTo>
                  <a:pt x="2124" y="327"/>
                </a:lnTo>
                <a:lnTo>
                  <a:pt x="2131" y="314"/>
                </a:lnTo>
                <a:lnTo>
                  <a:pt x="2137" y="301"/>
                </a:lnTo>
                <a:lnTo>
                  <a:pt x="2142" y="287"/>
                </a:lnTo>
                <a:lnTo>
                  <a:pt x="2146" y="271"/>
                </a:lnTo>
                <a:lnTo>
                  <a:pt x="2149" y="254"/>
                </a:lnTo>
                <a:lnTo>
                  <a:pt x="2151" y="236"/>
                </a:lnTo>
                <a:lnTo>
                  <a:pt x="2151" y="216"/>
                </a:lnTo>
                <a:lnTo>
                  <a:pt x="2150" y="191"/>
                </a:lnTo>
                <a:lnTo>
                  <a:pt x="2146" y="166"/>
                </a:lnTo>
                <a:lnTo>
                  <a:pt x="2141" y="146"/>
                </a:lnTo>
                <a:lnTo>
                  <a:pt x="2140" y="144"/>
                </a:lnTo>
                <a:lnTo>
                  <a:pt x="2132" y="122"/>
                </a:lnTo>
                <a:lnTo>
                  <a:pt x="2121" y="103"/>
                </a:lnTo>
                <a:lnTo>
                  <a:pt x="2108" y="85"/>
                </a:lnTo>
                <a:lnTo>
                  <a:pt x="2093" y="69"/>
                </a:lnTo>
                <a:lnTo>
                  <a:pt x="2077" y="54"/>
                </a:lnTo>
                <a:lnTo>
                  <a:pt x="2058" y="42"/>
                </a:lnTo>
                <a:lnTo>
                  <a:pt x="2037" y="31"/>
                </a:lnTo>
                <a:lnTo>
                  <a:pt x="2018" y="22"/>
                </a:lnTo>
                <a:lnTo>
                  <a:pt x="2018" y="581"/>
                </a:lnTo>
                <a:lnTo>
                  <a:pt x="2017" y="596"/>
                </a:lnTo>
                <a:lnTo>
                  <a:pt x="2014" y="610"/>
                </a:lnTo>
                <a:lnTo>
                  <a:pt x="2010" y="622"/>
                </a:lnTo>
                <a:lnTo>
                  <a:pt x="2004" y="633"/>
                </a:lnTo>
                <a:lnTo>
                  <a:pt x="1997" y="643"/>
                </a:lnTo>
                <a:lnTo>
                  <a:pt x="1988" y="652"/>
                </a:lnTo>
                <a:lnTo>
                  <a:pt x="1978" y="660"/>
                </a:lnTo>
                <a:lnTo>
                  <a:pt x="1967" y="667"/>
                </a:lnTo>
                <a:lnTo>
                  <a:pt x="1954" y="673"/>
                </a:lnTo>
                <a:lnTo>
                  <a:pt x="1940" y="679"/>
                </a:lnTo>
                <a:lnTo>
                  <a:pt x="1925" y="683"/>
                </a:lnTo>
                <a:lnTo>
                  <a:pt x="1909" y="686"/>
                </a:lnTo>
                <a:lnTo>
                  <a:pt x="1892" y="689"/>
                </a:lnTo>
                <a:lnTo>
                  <a:pt x="1874" y="691"/>
                </a:lnTo>
                <a:lnTo>
                  <a:pt x="1856" y="692"/>
                </a:lnTo>
                <a:lnTo>
                  <a:pt x="1837" y="692"/>
                </a:lnTo>
                <a:lnTo>
                  <a:pt x="1413" y="692"/>
                </a:lnTo>
                <a:lnTo>
                  <a:pt x="1413" y="146"/>
                </a:lnTo>
                <a:lnTo>
                  <a:pt x="1824" y="146"/>
                </a:lnTo>
                <a:lnTo>
                  <a:pt x="1844" y="146"/>
                </a:lnTo>
                <a:lnTo>
                  <a:pt x="1863" y="147"/>
                </a:lnTo>
                <a:lnTo>
                  <a:pt x="1881" y="148"/>
                </a:lnTo>
                <a:lnTo>
                  <a:pt x="1897" y="149"/>
                </a:lnTo>
                <a:lnTo>
                  <a:pt x="1913" y="152"/>
                </a:lnTo>
                <a:lnTo>
                  <a:pt x="1928" y="155"/>
                </a:lnTo>
                <a:lnTo>
                  <a:pt x="1941" y="159"/>
                </a:lnTo>
                <a:lnTo>
                  <a:pt x="1954" y="164"/>
                </a:lnTo>
                <a:lnTo>
                  <a:pt x="1965" y="170"/>
                </a:lnTo>
                <a:lnTo>
                  <a:pt x="1975" y="177"/>
                </a:lnTo>
                <a:lnTo>
                  <a:pt x="1983" y="186"/>
                </a:lnTo>
                <a:lnTo>
                  <a:pt x="1990" y="195"/>
                </a:lnTo>
                <a:lnTo>
                  <a:pt x="1996" y="206"/>
                </a:lnTo>
                <a:lnTo>
                  <a:pt x="2000" y="219"/>
                </a:lnTo>
                <a:lnTo>
                  <a:pt x="2002" y="233"/>
                </a:lnTo>
                <a:lnTo>
                  <a:pt x="2003" y="249"/>
                </a:lnTo>
                <a:lnTo>
                  <a:pt x="2001" y="274"/>
                </a:lnTo>
                <a:lnTo>
                  <a:pt x="1995" y="296"/>
                </a:lnTo>
                <a:lnTo>
                  <a:pt x="1986" y="314"/>
                </a:lnTo>
                <a:lnTo>
                  <a:pt x="1973" y="327"/>
                </a:lnTo>
                <a:lnTo>
                  <a:pt x="1956" y="337"/>
                </a:lnTo>
                <a:lnTo>
                  <a:pt x="1935" y="344"/>
                </a:lnTo>
                <a:lnTo>
                  <a:pt x="1910" y="349"/>
                </a:lnTo>
                <a:lnTo>
                  <a:pt x="1881" y="350"/>
                </a:lnTo>
                <a:lnTo>
                  <a:pt x="1519" y="350"/>
                </a:lnTo>
                <a:lnTo>
                  <a:pt x="1519" y="473"/>
                </a:lnTo>
                <a:lnTo>
                  <a:pt x="1891" y="473"/>
                </a:lnTo>
                <a:lnTo>
                  <a:pt x="1920" y="475"/>
                </a:lnTo>
                <a:lnTo>
                  <a:pt x="1946" y="480"/>
                </a:lnTo>
                <a:lnTo>
                  <a:pt x="1967" y="489"/>
                </a:lnTo>
                <a:lnTo>
                  <a:pt x="1985" y="501"/>
                </a:lnTo>
                <a:lnTo>
                  <a:pt x="1999" y="517"/>
                </a:lnTo>
                <a:lnTo>
                  <a:pt x="2010" y="536"/>
                </a:lnTo>
                <a:lnTo>
                  <a:pt x="2016" y="557"/>
                </a:lnTo>
                <a:lnTo>
                  <a:pt x="2018" y="581"/>
                </a:lnTo>
                <a:lnTo>
                  <a:pt x="2018" y="22"/>
                </a:lnTo>
                <a:lnTo>
                  <a:pt x="2015" y="21"/>
                </a:lnTo>
                <a:lnTo>
                  <a:pt x="1991" y="13"/>
                </a:lnTo>
                <a:lnTo>
                  <a:pt x="1965" y="7"/>
                </a:lnTo>
                <a:lnTo>
                  <a:pt x="1938" y="3"/>
                </a:lnTo>
                <a:lnTo>
                  <a:pt x="1909" y="1"/>
                </a:lnTo>
                <a:lnTo>
                  <a:pt x="1880" y="0"/>
                </a:lnTo>
                <a:lnTo>
                  <a:pt x="1427" y="0"/>
                </a:lnTo>
                <a:lnTo>
                  <a:pt x="1264" y="0"/>
                </a:lnTo>
                <a:lnTo>
                  <a:pt x="923" y="644"/>
                </a:lnTo>
                <a:lnTo>
                  <a:pt x="879" y="557"/>
                </a:lnTo>
                <a:lnTo>
                  <a:pt x="599" y="0"/>
                </a:lnTo>
                <a:lnTo>
                  <a:pt x="423" y="0"/>
                </a:lnTo>
                <a:lnTo>
                  <a:pt x="640" y="415"/>
                </a:lnTo>
                <a:lnTo>
                  <a:pt x="514" y="644"/>
                </a:lnTo>
                <a:lnTo>
                  <a:pt x="175" y="0"/>
                </a:lnTo>
                <a:lnTo>
                  <a:pt x="0" y="0"/>
                </a:lnTo>
                <a:lnTo>
                  <a:pt x="433" y="803"/>
                </a:lnTo>
                <a:lnTo>
                  <a:pt x="447" y="823"/>
                </a:lnTo>
                <a:lnTo>
                  <a:pt x="465" y="837"/>
                </a:lnTo>
                <a:lnTo>
                  <a:pt x="485" y="846"/>
                </a:lnTo>
                <a:lnTo>
                  <a:pt x="509" y="849"/>
                </a:lnTo>
                <a:lnTo>
                  <a:pt x="520" y="848"/>
                </a:lnTo>
                <a:lnTo>
                  <a:pt x="531" y="846"/>
                </a:lnTo>
                <a:lnTo>
                  <a:pt x="542" y="842"/>
                </a:lnTo>
                <a:lnTo>
                  <a:pt x="552" y="837"/>
                </a:lnTo>
                <a:lnTo>
                  <a:pt x="561" y="831"/>
                </a:lnTo>
                <a:lnTo>
                  <a:pt x="569" y="823"/>
                </a:lnTo>
                <a:lnTo>
                  <a:pt x="577" y="813"/>
                </a:lnTo>
                <a:lnTo>
                  <a:pt x="584" y="803"/>
                </a:lnTo>
                <a:lnTo>
                  <a:pt x="668" y="644"/>
                </a:lnTo>
                <a:lnTo>
                  <a:pt x="714" y="557"/>
                </a:lnTo>
                <a:lnTo>
                  <a:pt x="843" y="803"/>
                </a:lnTo>
                <a:lnTo>
                  <a:pt x="850" y="814"/>
                </a:lnTo>
                <a:lnTo>
                  <a:pt x="858" y="823"/>
                </a:lnTo>
                <a:lnTo>
                  <a:pt x="866" y="831"/>
                </a:lnTo>
                <a:lnTo>
                  <a:pt x="875" y="837"/>
                </a:lnTo>
                <a:lnTo>
                  <a:pt x="885" y="842"/>
                </a:lnTo>
                <a:lnTo>
                  <a:pt x="896" y="846"/>
                </a:lnTo>
                <a:lnTo>
                  <a:pt x="907" y="848"/>
                </a:lnTo>
                <a:lnTo>
                  <a:pt x="918" y="849"/>
                </a:lnTo>
                <a:lnTo>
                  <a:pt x="929" y="848"/>
                </a:lnTo>
                <a:lnTo>
                  <a:pt x="940" y="846"/>
                </a:lnTo>
                <a:lnTo>
                  <a:pt x="951" y="842"/>
                </a:lnTo>
                <a:lnTo>
                  <a:pt x="961" y="837"/>
                </a:lnTo>
                <a:lnTo>
                  <a:pt x="971" y="831"/>
                </a:lnTo>
                <a:lnTo>
                  <a:pt x="979" y="823"/>
                </a:lnTo>
                <a:lnTo>
                  <a:pt x="987" y="813"/>
                </a:lnTo>
                <a:lnTo>
                  <a:pt x="994" y="803"/>
                </a:lnTo>
                <a:lnTo>
                  <a:pt x="1080" y="644"/>
                </a:lnTo>
                <a:lnTo>
                  <a:pt x="1267" y="297"/>
                </a:lnTo>
                <a:lnTo>
                  <a:pt x="1267" y="837"/>
                </a:lnTo>
                <a:lnTo>
                  <a:pt x="1897" y="837"/>
                </a:lnTo>
                <a:lnTo>
                  <a:pt x="1926" y="836"/>
                </a:lnTo>
                <a:lnTo>
                  <a:pt x="1955" y="833"/>
                </a:lnTo>
                <a:lnTo>
                  <a:pt x="1982" y="827"/>
                </a:lnTo>
                <a:lnTo>
                  <a:pt x="2008" y="819"/>
                </a:lnTo>
                <a:lnTo>
                  <a:pt x="2032" y="810"/>
                </a:lnTo>
                <a:lnTo>
                  <a:pt x="2054" y="798"/>
                </a:lnTo>
                <a:lnTo>
                  <a:pt x="2074" y="784"/>
                </a:lnTo>
                <a:lnTo>
                  <a:pt x="2093" y="768"/>
                </a:lnTo>
                <a:lnTo>
                  <a:pt x="2110" y="751"/>
                </a:lnTo>
                <a:lnTo>
                  <a:pt x="2124" y="732"/>
                </a:lnTo>
                <a:lnTo>
                  <a:pt x="2137" y="711"/>
                </a:lnTo>
                <a:lnTo>
                  <a:pt x="2145" y="692"/>
                </a:lnTo>
                <a:lnTo>
                  <a:pt x="2147" y="688"/>
                </a:lnTo>
                <a:lnTo>
                  <a:pt x="2155" y="664"/>
                </a:lnTo>
                <a:lnTo>
                  <a:pt x="2161" y="639"/>
                </a:lnTo>
                <a:lnTo>
                  <a:pt x="2165" y="612"/>
                </a:lnTo>
                <a:lnTo>
                  <a:pt x="2166" y="584"/>
                </a:lnTo>
                <a:moveTo>
                  <a:pt x="2756" y="58"/>
                </a:moveTo>
                <a:lnTo>
                  <a:pt x="2704" y="58"/>
                </a:lnTo>
                <a:lnTo>
                  <a:pt x="2596" y="262"/>
                </a:lnTo>
                <a:lnTo>
                  <a:pt x="2582" y="235"/>
                </a:lnTo>
                <a:lnTo>
                  <a:pt x="2493" y="58"/>
                </a:lnTo>
                <a:lnTo>
                  <a:pt x="2437" y="58"/>
                </a:lnTo>
                <a:lnTo>
                  <a:pt x="2506" y="190"/>
                </a:lnTo>
                <a:lnTo>
                  <a:pt x="2466" y="262"/>
                </a:lnTo>
                <a:lnTo>
                  <a:pt x="2359" y="58"/>
                </a:lnTo>
                <a:lnTo>
                  <a:pt x="2303" y="58"/>
                </a:lnTo>
                <a:lnTo>
                  <a:pt x="2440" y="313"/>
                </a:lnTo>
                <a:lnTo>
                  <a:pt x="2446" y="323"/>
                </a:lnTo>
                <a:lnTo>
                  <a:pt x="2454" y="328"/>
                </a:lnTo>
                <a:lnTo>
                  <a:pt x="2470" y="328"/>
                </a:lnTo>
                <a:lnTo>
                  <a:pt x="2474" y="326"/>
                </a:lnTo>
                <a:lnTo>
                  <a:pt x="2478" y="324"/>
                </a:lnTo>
                <a:lnTo>
                  <a:pt x="2482" y="322"/>
                </a:lnTo>
                <a:lnTo>
                  <a:pt x="2486" y="318"/>
                </a:lnTo>
                <a:lnTo>
                  <a:pt x="2488" y="313"/>
                </a:lnTo>
                <a:lnTo>
                  <a:pt x="2515" y="262"/>
                </a:lnTo>
                <a:lnTo>
                  <a:pt x="2530" y="235"/>
                </a:lnTo>
                <a:lnTo>
                  <a:pt x="2573" y="318"/>
                </a:lnTo>
                <a:lnTo>
                  <a:pt x="2577" y="322"/>
                </a:lnTo>
                <a:lnTo>
                  <a:pt x="2585" y="326"/>
                </a:lnTo>
                <a:lnTo>
                  <a:pt x="2590" y="328"/>
                </a:lnTo>
                <a:lnTo>
                  <a:pt x="2599" y="328"/>
                </a:lnTo>
                <a:lnTo>
                  <a:pt x="2604" y="326"/>
                </a:lnTo>
                <a:lnTo>
                  <a:pt x="2612" y="322"/>
                </a:lnTo>
                <a:lnTo>
                  <a:pt x="2616" y="318"/>
                </a:lnTo>
                <a:lnTo>
                  <a:pt x="2646" y="262"/>
                </a:lnTo>
                <a:lnTo>
                  <a:pt x="2756" y="58"/>
                </a:lnTo>
                <a:moveTo>
                  <a:pt x="3045" y="209"/>
                </a:moveTo>
                <a:lnTo>
                  <a:pt x="2999" y="209"/>
                </a:lnTo>
                <a:lnTo>
                  <a:pt x="2999" y="325"/>
                </a:lnTo>
                <a:lnTo>
                  <a:pt x="3045" y="325"/>
                </a:lnTo>
                <a:lnTo>
                  <a:pt x="3045" y="209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8" name="Line 29">
            <a:extLst>
              <a:ext uri="{FF2B5EF4-FFF2-40B4-BE49-F238E27FC236}">
                <a16:creationId xmlns:a16="http://schemas.microsoft.com/office/drawing/2014/main" id="{3A2FD0DF-968A-4639-A26D-53D86D0190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625" y="949"/>
            <a:ext cx="180" cy="0"/>
          </a:xfrm>
          <a:prstGeom prst="line">
            <a:avLst/>
          </a:prstGeom>
          <a:noFill/>
          <a:ln w="254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BB3CC46-3EF5-4F70-A701-86ADEDEFDF72}"/>
              </a:ext>
            </a:extLst>
          </xdr:cNvPr>
          <xdr:cNvSpPr>
            <a:spLocks noChangeArrowheads="1"/>
          </xdr:cNvSpPr>
        </xdr:nvSpPr>
        <xdr:spPr bwMode="auto">
          <a:xfrm>
            <a:off x="3758" y="819"/>
            <a:ext cx="47" cy="110"/>
          </a:xfrm>
          <a:prstGeom prst="rect">
            <a:avLst/>
          </a:pr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0" name="AutoShape 27">
            <a:extLst>
              <a:ext uri="{FF2B5EF4-FFF2-40B4-BE49-F238E27FC236}">
                <a16:creationId xmlns:a16="http://schemas.microsoft.com/office/drawing/2014/main" id="{B2E5FE5B-6284-4A03-B091-28CA54E8B377}"/>
              </a:ext>
            </a:extLst>
          </xdr:cNvPr>
          <xdr:cNvSpPr>
            <a:spLocks/>
          </xdr:cNvSpPr>
        </xdr:nvSpPr>
        <xdr:spPr bwMode="auto">
          <a:xfrm>
            <a:off x="3567" y="818"/>
            <a:ext cx="490" cy="267"/>
          </a:xfrm>
          <a:custGeom>
            <a:avLst/>
            <a:gdLst>
              <a:gd name="T0" fmla="+- 0 3568 3568"/>
              <a:gd name="T1" fmla="*/ T0 w 490"/>
              <a:gd name="T2" fmla="+- 0 818 818"/>
              <a:gd name="T3" fmla="*/ 818 h 267"/>
              <a:gd name="T4" fmla="+- 0 3568 3568"/>
              <a:gd name="T5" fmla="*/ T4 w 490"/>
              <a:gd name="T6" fmla="+- 0 1085 818"/>
              <a:gd name="T7" fmla="*/ 1085 h 267"/>
              <a:gd name="T8" fmla="+- 0 3877 3568"/>
              <a:gd name="T9" fmla="*/ T8 w 490"/>
              <a:gd name="T10" fmla="+- 0 818 818"/>
              <a:gd name="T11" fmla="*/ 818 h 267"/>
              <a:gd name="T12" fmla="+- 0 3877 3568"/>
              <a:gd name="T13" fmla="*/ T12 w 490"/>
              <a:gd name="T14" fmla="+- 0 1084 818"/>
              <a:gd name="T15" fmla="*/ 1084 h 267"/>
              <a:gd name="T16" fmla="+- 0 4057 3568"/>
              <a:gd name="T17" fmla="*/ T16 w 490"/>
              <a:gd name="T18" fmla="+- 0 864 818"/>
              <a:gd name="T19" fmla="*/ 864 h 267"/>
              <a:gd name="T20" fmla="+- 0 4057 3568"/>
              <a:gd name="T21" fmla="*/ T20 w 490"/>
              <a:gd name="T22" fmla="+- 0 1084 818"/>
              <a:gd name="T23" fmla="*/ 1084 h 26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490" h="267">
                <a:moveTo>
                  <a:pt x="0" y="0"/>
                </a:moveTo>
                <a:lnTo>
                  <a:pt x="0" y="267"/>
                </a:lnTo>
                <a:moveTo>
                  <a:pt x="309" y="0"/>
                </a:moveTo>
                <a:lnTo>
                  <a:pt x="309" y="266"/>
                </a:lnTo>
                <a:moveTo>
                  <a:pt x="489" y="46"/>
                </a:moveTo>
                <a:lnTo>
                  <a:pt x="489" y="266"/>
                </a:lnTo>
              </a:path>
            </a:pathLst>
          </a:cu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1" name="Line 26">
            <a:extLst>
              <a:ext uri="{FF2B5EF4-FFF2-40B4-BE49-F238E27FC236}">
                <a16:creationId xmlns:a16="http://schemas.microsoft.com/office/drawing/2014/main" id="{9E5328E8-37EE-4CE3-9CC3-EC622B40E7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933" y="841"/>
            <a:ext cx="248" cy="0"/>
          </a:xfrm>
          <a:prstGeom prst="line">
            <a:avLst/>
          </a:pr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" name="Line 25">
            <a:extLst>
              <a:ext uri="{FF2B5EF4-FFF2-40B4-BE49-F238E27FC236}">
                <a16:creationId xmlns:a16="http://schemas.microsoft.com/office/drawing/2014/main" id="{8374E17F-4150-4EC9-9680-4BB5FA018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1061"/>
            <a:ext cx="238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" name="Line 24">
            <a:extLst>
              <a:ext uri="{FF2B5EF4-FFF2-40B4-BE49-F238E27FC236}">
                <a16:creationId xmlns:a16="http://schemas.microsoft.com/office/drawing/2014/main" id="{8CF88B57-9D56-4661-B3AC-5BA24B7BB24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35" y="864"/>
            <a:ext cx="0" cy="174"/>
          </a:xfrm>
          <a:prstGeom prst="line">
            <a:avLst/>
          </a:prstGeom>
          <a:noFill/>
          <a:ln w="29337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" name="Line 23">
            <a:extLst>
              <a:ext uri="{FF2B5EF4-FFF2-40B4-BE49-F238E27FC236}">
                <a16:creationId xmlns:a16="http://schemas.microsoft.com/office/drawing/2014/main" id="{7888018C-9C7A-4E43-9560-F3EA0834F0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841"/>
            <a:ext cx="237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22">
            <a:extLst>
              <a:ext uri="{FF2B5EF4-FFF2-40B4-BE49-F238E27FC236}">
                <a16:creationId xmlns:a16="http://schemas.microsoft.com/office/drawing/2014/main" id="{DF8BD55D-D593-401E-8907-CE041E2293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92" y="949"/>
            <a:ext cx="148" cy="0"/>
          </a:xfrm>
          <a:prstGeom prst="line">
            <a:avLst/>
          </a:prstGeom>
          <a:noFill/>
          <a:ln w="24892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" name="AutoShape 21">
            <a:extLst>
              <a:ext uri="{FF2B5EF4-FFF2-40B4-BE49-F238E27FC236}">
                <a16:creationId xmlns:a16="http://schemas.microsoft.com/office/drawing/2014/main" id="{3C849572-75ED-4A72-A550-7823A82288C6}"/>
              </a:ext>
            </a:extLst>
          </xdr:cNvPr>
          <xdr:cNvSpPr>
            <a:spLocks/>
          </xdr:cNvSpPr>
        </xdr:nvSpPr>
        <xdr:spPr bwMode="auto">
          <a:xfrm>
            <a:off x="4489" y="814"/>
            <a:ext cx="902" cy="270"/>
          </a:xfrm>
          <a:custGeom>
            <a:avLst/>
            <a:gdLst>
              <a:gd name="T0" fmla="+- 0 4774 4489"/>
              <a:gd name="T1" fmla="*/ T0 w 902"/>
              <a:gd name="T2" fmla="+- 0 992 814"/>
              <a:gd name="T3" fmla="*/ 992 h 270"/>
              <a:gd name="T4" fmla="+- 0 4768 4489"/>
              <a:gd name="T5" fmla="*/ T4 w 902"/>
              <a:gd name="T6" fmla="+- 0 973 814"/>
              <a:gd name="T7" fmla="*/ 973 h 270"/>
              <a:gd name="T8" fmla="+- 0 4755 4489"/>
              <a:gd name="T9" fmla="*/ T8 w 902"/>
              <a:gd name="T10" fmla="+- 0 955 814"/>
              <a:gd name="T11" fmla="*/ 955 h 270"/>
              <a:gd name="T12" fmla="+- 0 4733 4489"/>
              <a:gd name="T13" fmla="*/ T12 w 902"/>
              <a:gd name="T14" fmla="+- 0 944 814"/>
              <a:gd name="T15" fmla="*/ 944 h 270"/>
              <a:gd name="T16" fmla="+- 0 4743 4489"/>
              <a:gd name="T17" fmla="*/ T16 w 902"/>
              <a:gd name="T18" fmla="+- 0 940 814"/>
              <a:gd name="T19" fmla="*/ 940 h 270"/>
              <a:gd name="T20" fmla="+- 0 4752 4489"/>
              <a:gd name="T21" fmla="*/ T20 w 902"/>
              <a:gd name="T22" fmla="+- 0 934 814"/>
              <a:gd name="T23" fmla="*/ 934 h 270"/>
              <a:gd name="T24" fmla="+- 0 4759 4489"/>
              <a:gd name="T25" fmla="*/ T24 w 902"/>
              <a:gd name="T26" fmla="+- 0 925 814"/>
              <a:gd name="T27" fmla="*/ 925 h 270"/>
              <a:gd name="T28" fmla="+- 0 4765 4489"/>
              <a:gd name="T29" fmla="*/ T28 w 902"/>
              <a:gd name="T30" fmla="+- 0 916 814"/>
              <a:gd name="T31" fmla="*/ 916 h 270"/>
              <a:gd name="T32" fmla="+- 0 4770 4489"/>
              <a:gd name="T33" fmla="*/ T32 w 902"/>
              <a:gd name="T34" fmla="+- 0 895 814"/>
              <a:gd name="T35" fmla="*/ 895 h 270"/>
              <a:gd name="T36" fmla="+- 0 4768 4489"/>
              <a:gd name="T37" fmla="*/ T36 w 902"/>
              <a:gd name="T38" fmla="+- 0 866 814"/>
              <a:gd name="T39" fmla="*/ 866 h 270"/>
              <a:gd name="T40" fmla="+- 0 4764 4489"/>
              <a:gd name="T41" fmla="*/ T40 w 902"/>
              <a:gd name="T42" fmla="+- 0 857 814"/>
              <a:gd name="T43" fmla="*/ 857 h 270"/>
              <a:gd name="T44" fmla="+- 0 4754 4489"/>
              <a:gd name="T45" fmla="*/ T44 w 902"/>
              <a:gd name="T46" fmla="+- 0 841 814"/>
              <a:gd name="T47" fmla="*/ 841 h 270"/>
              <a:gd name="T48" fmla="+- 0 4730 4489"/>
              <a:gd name="T49" fmla="*/ T48 w 902"/>
              <a:gd name="T50" fmla="+- 0 825 814"/>
              <a:gd name="T51" fmla="*/ 825 h 270"/>
              <a:gd name="T52" fmla="+- 0 4727 4489"/>
              <a:gd name="T53" fmla="*/ T52 w 902"/>
              <a:gd name="T54" fmla="+- 0 992 814"/>
              <a:gd name="T55" fmla="*/ 992 h 270"/>
              <a:gd name="T56" fmla="+- 0 4726 4489"/>
              <a:gd name="T57" fmla="*/ T56 w 902"/>
              <a:gd name="T58" fmla="+- 0 1015 814"/>
              <a:gd name="T59" fmla="*/ 1015 h 270"/>
              <a:gd name="T60" fmla="+- 0 4721 4489"/>
              <a:gd name="T61" fmla="*/ T60 w 902"/>
              <a:gd name="T62" fmla="+- 0 1024 814"/>
              <a:gd name="T63" fmla="*/ 1024 h 270"/>
              <a:gd name="T64" fmla="+- 0 4711 4489"/>
              <a:gd name="T65" fmla="*/ T64 w 902"/>
              <a:gd name="T66" fmla="+- 0 1030 814"/>
              <a:gd name="T67" fmla="*/ 1030 h 270"/>
              <a:gd name="T68" fmla="+- 0 4700 4489"/>
              <a:gd name="T69" fmla="*/ T68 w 902"/>
              <a:gd name="T70" fmla="+- 0 1035 814"/>
              <a:gd name="T71" fmla="*/ 1035 h 270"/>
              <a:gd name="T72" fmla="+- 0 4678 4489"/>
              <a:gd name="T73" fmla="*/ T72 w 902"/>
              <a:gd name="T74" fmla="+- 0 1038 814"/>
              <a:gd name="T75" fmla="*/ 1038 h 270"/>
              <a:gd name="T76" fmla="+- 0 4536 4489"/>
              <a:gd name="T77" fmla="*/ T76 w 902"/>
              <a:gd name="T78" fmla="+- 0 865 814"/>
              <a:gd name="T79" fmla="*/ 865 h 270"/>
              <a:gd name="T80" fmla="+- 0 4682 4489"/>
              <a:gd name="T81" fmla="*/ T80 w 902"/>
              <a:gd name="T82" fmla="+- 0 865 814"/>
              <a:gd name="T83" fmla="*/ 865 h 270"/>
              <a:gd name="T84" fmla="+- 0 4702 4489"/>
              <a:gd name="T85" fmla="*/ T84 w 902"/>
              <a:gd name="T86" fmla="+- 0 868 814"/>
              <a:gd name="T87" fmla="*/ 868 h 270"/>
              <a:gd name="T88" fmla="+- 0 4712 4489"/>
              <a:gd name="T89" fmla="*/ T88 w 902"/>
              <a:gd name="T90" fmla="+- 0 873 814"/>
              <a:gd name="T91" fmla="*/ 873 h 270"/>
              <a:gd name="T92" fmla="+- 0 4722 4489"/>
              <a:gd name="T93" fmla="*/ T92 w 902"/>
              <a:gd name="T94" fmla="+- 0 884 814"/>
              <a:gd name="T95" fmla="*/ 884 h 270"/>
              <a:gd name="T96" fmla="+- 0 4723 4489"/>
              <a:gd name="T97" fmla="*/ T96 w 902"/>
              <a:gd name="T98" fmla="+- 0 909 814"/>
              <a:gd name="T99" fmla="*/ 909 h 270"/>
              <a:gd name="T100" fmla="+- 0 4713 4489"/>
              <a:gd name="T101" fmla="*/ T100 w 902"/>
              <a:gd name="T102" fmla="+- 0 922 814"/>
              <a:gd name="T103" fmla="*/ 922 h 270"/>
              <a:gd name="T104" fmla="+- 0 4697 4489"/>
              <a:gd name="T105" fmla="*/ T104 w 902"/>
              <a:gd name="T106" fmla="+- 0 929 814"/>
              <a:gd name="T107" fmla="*/ 929 h 270"/>
              <a:gd name="T108" fmla="+- 0 4569 4489"/>
              <a:gd name="T109" fmla="*/ T108 w 902"/>
              <a:gd name="T110" fmla="+- 0 969 814"/>
              <a:gd name="T111" fmla="*/ 969 h 270"/>
              <a:gd name="T112" fmla="+- 0 4710 4489"/>
              <a:gd name="T113" fmla="*/ T112 w 902"/>
              <a:gd name="T114" fmla="+- 0 972 814"/>
              <a:gd name="T115" fmla="*/ 972 h 270"/>
              <a:gd name="T116" fmla="+- 0 4727 4489"/>
              <a:gd name="T117" fmla="*/ T116 w 902"/>
              <a:gd name="T118" fmla="+- 0 992 814"/>
              <a:gd name="T119" fmla="*/ 992 h 270"/>
              <a:gd name="T120" fmla="+- 0 4708 4489"/>
              <a:gd name="T121" fmla="*/ T120 w 902"/>
              <a:gd name="T122" fmla="+- 0 819 814"/>
              <a:gd name="T123" fmla="*/ 819 h 270"/>
              <a:gd name="T124" fmla="+- 0 4489 4489"/>
              <a:gd name="T125" fmla="*/ T124 w 902"/>
              <a:gd name="T126" fmla="+- 0 818 814"/>
              <a:gd name="T127" fmla="*/ 818 h 270"/>
              <a:gd name="T128" fmla="+- 0 4702 4489"/>
              <a:gd name="T129" fmla="*/ T128 w 902"/>
              <a:gd name="T130" fmla="+- 0 1084 814"/>
              <a:gd name="T131" fmla="*/ 1084 h 270"/>
              <a:gd name="T132" fmla="+- 0 4735 4489"/>
              <a:gd name="T133" fmla="*/ T132 w 902"/>
              <a:gd name="T134" fmla="+- 0 1075 814"/>
              <a:gd name="T135" fmla="*/ 1075 h 270"/>
              <a:gd name="T136" fmla="+- 0 4759 4489"/>
              <a:gd name="T137" fmla="*/ T136 w 902"/>
              <a:gd name="T138" fmla="+- 0 1055 814"/>
              <a:gd name="T139" fmla="*/ 1055 h 270"/>
              <a:gd name="T140" fmla="+- 0 4768 4489"/>
              <a:gd name="T141" fmla="*/ T140 w 902"/>
              <a:gd name="T142" fmla="+- 0 1038 814"/>
              <a:gd name="T143" fmla="*/ 1038 h 270"/>
              <a:gd name="T144" fmla="+- 0 4775 4489"/>
              <a:gd name="T145" fmla="*/ T144 w 902"/>
              <a:gd name="T146" fmla="+- 0 1016 814"/>
              <a:gd name="T147" fmla="*/ 1016 h 270"/>
              <a:gd name="T148" fmla="+- 0 5128 4489"/>
              <a:gd name="T149" fmla="*/ T148 w 902"/>
              <a:gd name="T150" fmla="+- 0 1084 814"/>
              <a:gd name="T151" fmla="*/ 1084 h 270"/>
              <a:gd name="T152" fmla="+- 0 4975 4489"/>
              <a:gd name="T153" fmla="*/ T152 w 902"/>
              <a:gd name="T154" fmla="+- 0 829 814"/>
              <a:gd name="T155" fmla="*/ 829 h 270"/>
              <a:gd name="T156" fmla="+- 0 4969 4489"/>
              <a:gd name="T157" fmla="*/ T156 w 902"/>
              <a:gd name="T158" fmla="+- 0 821 814"/>
              <a:gd name="T159" fmla="*/ 821 h 270"/>
              <a:gd name="T160" fmla="+- 0 4958 4489"/>
              <a:gd name="T161" fmla="*/ T160 w 902"/>
              <a:gd name="T162" fmla="+- 0 814 814"/>
              <a:gd name="T163" fmla="*/ 814 h 270"/>
              <a:gd name="T164" fmla="+- 0 4943 4489"/>
              <a:gd name="T165" fmla="*/ T164 w 902"/>
              <a:gd name="T166" fmla="+- 0 816 814"/>
              <a:gd name="T167" fmla="*/ 816 h 270"/>
              <a:gd name="T168" fmla="+- 0 4936 4489"/>
              <a:gd name="T169" fmla="*/ T168 w 902"/>
              <a:gd name="T170" fmla="+- 0 821 814"/>
              <a:gd name="T171" fmla="*/ 821 h 270"/>
              <a:gd name="T172" fmla="+- 0 4930 4489"/>
              <a:gd name="T173" fmla="*/ T172 w 902"/>
              <a:gd name="T174" fmla="+- 0 829 814"/>
              <a:gd name="T175" fmla="*/ 829 h 270"/>
              <a:gd name="T176" fmla="+- 0 4830 4489"/>
              <a:gd name="T177" fmla="*/ T176 w 902"/>
              <a:gd name="T178" fmla="+- 0 1084 814"/>
              <a:gd name="T179" fmla="*/ 1084 h 270"/>
              <a:gd name="T180" fmla="+- 0 5010 4489"/>
              <a:gd name="T181" fmla="*/ T180 w 902"/>
              <a:gd name="T182" fmla="+- 0 979 814"/>
              <a:gd name="T183" fmla="*/ 979 h 270"/>
              <a:gd name="T184" fmla="+- 0 4906 4489"/>
              <a:gd name="T185" fmla="*/ T184 w 902"/>
              <a:gd name="T186" fmla="+- 0 1017 814"/>
              <a:gd name="T187" fmla="*/ 1017 h 270"/>
              <a:gd name="T188" fmla="+- 0 5072 4489"/>
              <a:gd name="T189" fmla="*/ T188 w 902"/>
              <a:gd name="T190" fmla="+- 0 1084 814"/>
              <a:gd name="T191" fmla="*/ 1084 h 270"/>
              <a:gd name="T192" fmla="+- 0 5391 4489"/>
              <a:gd name="T193" fmla="*/ T192 w 902"/>
              <a:gd name="T194" fmla="+- 0 818 814"/>
              <a:gd name="T195" fmla="*/ 818 h 270"/>
              <a:gd name="T196" fmla="+- 0 5228 4489"/>
              <a:gd name="T197" fmla="*/ T196 w 902"/>
              <a:gd name="T198" fmla="+- 0 940 814"/>
              <a:gd name="T199" fmla="*/ 940 h 270"/>
              <a:gd name="T200" fmla="+- 0 5062 4489"/>
              <a:gd name="T201" fmla="*/ T200 w 902"/>
              <a:gd name="T202" fmla="+- 0 818 814"/>
              <a:gd name="T203" fmla="*/ 818 h 270"/>
              <a:gd name="T204" fmla="+- 0 5203 4489"/>
              <a:gd name="T205" fmla="*/ T204 w 902"/>
              <a:gd name="T206" fmla="+- 0 1084 814"/>
              <a:gd name="T207" fmla="*/ 1084 h 270"/>
              <a:gd name="T208" fmla="+- 0 5249 4489"/>
              <a:gd name="T209" fmla="*/ T208 w 902"/>
              <a:gd name="T210" fmla="+- 0 983 814"/>
              <a:gd name="T211" fmla="*/ 983 h 270"/>
              <a:gd name="T212" fmla="+- 0 5391 4489"/>
              <a:gd name="T213" fmla="*/ T212 w 902"/>
              <a:gd name="T214" fmla="+- 0 818 814"/>
              <a:gd name="T215" fmla="*/ 818 h 27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902" h="270">
                <a:moveTo>
                  <a:pt x="286" y="190"/>
                </a:moveTo>
                <a:lnTo>
                  <a:pt x="285" y="178"/>
                </a:lnTo>
                <a:lnTo>
                  <a:pt x="283" y="168"/>
                </a:lnTo>
                <a:lnTo>
                  <a:pt x="279" y="159"/>
                </a:lnTo>
                <a:lnTo>
                  <a:pt x="274" y="151"/>
                </a:lnTo>
                <a:lnTo>
                  <a:pt x="266" y="141"/>
                </a:lnTo>
                <a:lnTo>
                  <a:pt x="256" y="134"/>
                </a:lnTo>
                <a:lnTo>
                  <a:pt x="244" y="130"/>
                </a:lnTo>
                <a:lnTo>
                  <a:pt x="249" y="128"/>
                </a:lnTo>
                <a:lnTo>
                  <a:pt x="254" y="126"/>
                </a:lnTo>
                <a:lnTo>
                  <a:pt x="258" y="123"/>
                </a:lnTo>
                <a:lnTo>
                  <a:pt x="263" y="120"/>
                </a:lnTo>
                <a:lnTo>
                  <a:pt x="267" y="116"/>
                </a:lnTo>
                <a:lnTo>
                  <a:pt x="270" y="111"/>
                </a:lnTo>
                <a:lnTo>
                  <a:pt x="273" y="107"/>
                </a:lnTo>
                <a:lnTo>
                  <a:pt x="276" y="102"/>
                </a:lnTo>
                <a:lnTo>
                  <a:pt x="280" y="89"/>
                </a:lnTo>
                <a:lnTo>
                  <a:pt x="281" y="81"/>
                </a:lnTo>
                <a:lnTo>
                  <a:pt x="281" y="62"/>
                </a:lnTo>
                <a:lnTo>
                  <a:pt x="279" y="52"/>
                </a:lnTo>
                <a:lnTo>
                  <a:pt x="278" y="51"/>
                </a:lnTo>
                <a:lnTo>
                  <a:pt x="275" y="43"/>
                </a:lnTo>
                <a:lnTo>
                  <a:pt x="271" y="34"/>
                </a:lnTo>
                <a:lnTo>
                  <a:pt x="265" y="27"/>
                </a:lnTo>
                <a:lnTo>
                  <a:pt x="250" y="16"/>
                </a:lnTo>
                <a:lnTo>
                  <a:pt x="241" y="11"/>
                </a:lnTo>
                <a:lnTo>
                  <a:pt x="238" y="11"/>
                </a:lnTo>
                <a:lnTo>
                  <a:pt x="238" y="178"/>
                </a:lnTo>
                <a:lnTo>
                  <a:pt x="238" y="196"/>
                </a:lnTo>
                <a:lnTo>
                  <a:pt x="237" y="201"/>
                </a:lnTo>
                <a:lnTo>
                  <a:pt x="234" y="205"/>
                </a:lnTo>
                <a:lnTo>
                  <a:pt x="232" y="210"/>
                </a:lnTo>
                <a:lnTo>
                  <a:pt x="228" y="213"/>
                </a:lnTo>
                <a:lnTo>
                  <a:pt x="222" y="216"/>
                </a:lnTo>
                <a:lnTo>
                  <a:pt x="217" y="219"/>
                </a:lnTo>
                <a:lnTo>
                  <a:pt x="211" y="221"/>
                </a:lnTo>
                <a:lnTo>
                  <a:pt x="197" y="223"/>
                </a:lnTo>
                <a:lnTo>
                  <a:pt x="189" y="224"/>
                </a:lnTo>
                <a:lnTo>
                  <a:pt x="47" y="224"/>
                </a:lnTo>
                <a:lnTo>
                  <a:pt x="47" y="51"/>
                </a:lnTo>
                <a:lnTo>
                  <a:pt x="186" y="51"/>
                </a:lnTo>
                <a:lnTo>
                  <a:pt x="193" y="51"/>
                </a:lnTo>
                <a:lnTo>
                  <a:pt x="207" y="53"/>
                </a:lnTo>
                <a:lnTo>
                  <a:pt x="213" y="54"/>
                </a:lnTo>
                <a:lnTo>
                  <a:pt x="218" y="56"/>
                </a:lnTo>
                <a:lnTo>
                  <a:pt x="223" y="59"/>
                </a:lnTo>
                <a:lnTo>
                  <a:pt x="227" y="62"/>
                </a:lnTo>
                <a:lnTo>
                  <a:pt x="233" y="70"/>
                </a:lnTo>
                <a:lnTo>
                  <a:pt x="234" y="76"/>
                </a:lnTo>
                <a:lnTo>
                  <a:pt x="234" y="95"/>
                </a:lnTo>
                <a:lnTo>
                  <a:pt x="231" y="103"/>
                </a:lnTo>
                <a:lnTo>
                  <a:pt x="224" y="108"/>
                </a:lnTo>
                <a:lnTo>
                  <a:pt x="218" y="113"/>
                </a:lnTo>
                <a:lnTo>
                  <a:pt x="208" y="115"/>
                </a:lnTo>
                <a:lnTo>
                  <a:pt x="80" y="115"/>
                </a:lnTo>
                <a:lnTo>
                  <a:pt x="80" y="155"/>
                </a:lnTo>
                <a:lnTo>
                  <a:pt x="211" y="155"/>
                </a:lnTo>
                <a:lnTo>
                  <a:pt x="221" y="158"/>
                </a:lnTo>
                <a:lnTo>
                  <a:pt x="235" y="170"/>
                </a:lnTo>
                <a:lnTo>
                  <a:pt x="238" y="178"/>
                </a:lnTo>
                <a:lnTo>
                  <a:pt x="238" y="11"/>
                </a:lnTo>
                <a:lnTo>
                  <a:pt x="219" y="5"/>
                </a:lnTo>
                <a:lnTo>
                  <a:pt x="208" y="4"/>
                </a:lnTo>
                <a:lnTo>
                  <a:pt x="0" y="4"/>
                </a:lnTo>
                <a:lnTo>
                  <a:pt x="0" y="270"/>
                </a:lnTo>
                <a:lnTo>
                  <a:pt x="213" y="270"/>
                </a:lnTo>
                <a:lnTo>
                  <a:pt x="225" y="268"/>
                </a:lnTo>
                <a:lnTo>
                  <a:pt x="246" y="261"/>
                </a:lnTo>
                <a:lnTo>
                  <a:pt x="255" y="255"/>
                </a:lnTo>
                <a:lnTo>
                  <a:pt x="270" y="241"/>
                </a:lnTo>
                <a:lnTo>
                  <a:pt x="276" y="233"/>
                </a:lnTo>
                <a:lnTo>
                  <a:pt x="279" y="224"/>
                </a:lnTo>
                <a:lnTo>
                  <a:pt x="284" y="213"/>
                </a:lnTo>
                <a:lnTo>
                  <a:pt x="286" y="202"/>
                </a:lnTo>
                <a:lnTo>
                  <a:pt x="286" y="190"/>
                </a:lnTo>
                <a:moveTo>
                  <a:pt x="639" y="270"/>
                </a:moveTo>
                <a:lnTo>
                  <a:pt x="516" y="66"/>
                </a:lnTo>
                <a:lnTo>
                  <a:pt x="486" y="15"/>
                </a:lnTo>
                <a:lnTo>
                  <a:pt x="483" y="11"/>
                </a:lnTo>
                <a:lnTo>
                  <a:pt x="480" y="7"/>
                </a:lnTo>
                <a:lnTo>
                  <a:pt x="473" y="2"/>
                </a:lnTo>
                <a:lnTo>
                  <a:pt x="469" y="0"/>
                </a:lnTo>
                <a:lnTo>
                  <a:pt x="458" y="0"/>
                </a:lnTo>
                <a:lnTo>
                  <a:pt x="454" y="2"/>
                </a:lnTo>
                <a:lnTo>
                  <a:pt x="450" y="4"/>
                </a:lnTo>
                <a:lnTo>
                  <a:pt x="447" y="7"/>
                </a:lnTo>
                <a:lnTo>
                  <a:pt x="443" y="11"/>
                </a:lnTo>
                <a:lnTo>
                  <a:pt x="441" y="15"/>
                </a:lnTo>
                <a:lnTo>
                  <a:pt x="288" y="270"/>
                </a:lnTo>
                <a:lnTo>
                  <a:pt x="341" y="270"/>
                </a:lnTo>
                <a:lnTo>
                  <a:pt x="462" y="66"/>
                </a:lnTo>
                <a:lnTo>
                  <a:pt x="521" y="165"/>
                </a:lnTo>
                <a:lnTo>
                  <a:pt x="439" y="165"/>
                </a:lnTo>
                <a:lnTo>
                  <a:pt x="417" y="203"/>
                </a:lnTo>
                <a:lnTo>
                  <a:pt x="543" y="203"/>
                </a:lnTo>
                <a:lnTo>
                  <a:pt x="583" y="270"/>
                </a:lnTo>
                <a:lnTo>
                  <a:pt x="639" y="270"/>
                </a:lnTo>
                <a:moveTo>
                  <a:pt x="902" y="4"/>
                </a:moveTo>
                <a:lnTo>
                  <a:pt x="843" y="4"/>
                </a:lnTo>
                <a:lnTo>
                  <a:pt x="739" y="126"/>
                </a:lnTo>
                <a:lnTo>
                  <a:pt x="635" y="4"/>
                </a:lnTo>
                <a:lnTo>
                  <a:pt x="573" y="4"/>
                </a:lnTo>
                <a:lnTo>
                  <a:pt x="714" y="169"/>
                </a:lnTo>
                <a:lnTo>
                  <a:pt x="714" y="270"/>
                </a:lnTo>
                <a:lnTo>
                  <a:pt x="760" y="270"/>
                </a:lnTo>
                <a:lnTo>
                  <a:pt x="760" y="169"/>
                </a:lnTo>
                <a:lnTo>
                  <a:pt x="797" y="126"/>
                </a:lnTo>
                <a:lnTo>
                  <a:pt x="902" y="4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7" name="Line 20">
            <a:extLst>
              <a:ext uri="{FF2B5EF4-FFF2-40B4-BE49-F238E27FC236}">
                <a16:creationId xmlns:a16="http://schemas.microsoft.com/office/drawing/2014/main" id="{2F937AB0-DDA1-429F-8C7E-05334FE792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84" y="1517"/>
            <a:ext cx="308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" name="AutoShape 19">
            <a:extLst>
              <a:ext uri="{FF2B5EF4-FFF2-40B4-BE49-F238E27FC236}">
                <a16:creationId xmlns:a16="http://schemas.microsoft.com/office/drawing/2014/main" id="{7D972844-BE74-4D11-9EE3-F72EDFF1B6A4}"/>
              </a:ext>
            </a:extLst>
          </xdr:cNvPr>
          <xdr:cNvSpPr>
            <a:spLocks/>
          </xdr:cNvSpPr>
        </xdr:nvSpPr>
        <xdr:spPr bwMode="auto">
          <a:xfrm>
            <a:off x="3115" y="1185"/>
            <a:ext cx="358" cy="364"/>
          </a:xfrm>
          <a:custGeom>
            <a:avLst/>
            <a:gdLst>
              <a:gd name="T0" fmla="+- 0 3115 3115"/>
              <a:gd name="T1" fmla="*/ T0 w 358"/>
              <a:gd name="T2" fmla="+- 0 1185 1185"/>
              <a:gd name="T3" fmla="*/ 1185 h 364"/>
              <a:gd name="T4" fmla="+- 0 3115 3115"/>
              <a:gd name="T5" fmla="*/ T4 w 358"/>
              <a:gd name="T6" fmla="+- 0 1485 1185"/>
              <a:gd name="T7" fmla="*/ 1485 h 364"/>
              <a:gd name="T8" fmla="+- 0 3473 3115"/>
              <a:gd name="T9" fmla="*/ T8 w 358"/>
              <a:gd name="T10" fmla="+- 0 1185 1185"/>
              <a:gd name="T11" fmla="*/ 1185 h 364"/>
              <a:gd name="T12" fmla="+- 0 3473 3115"/>
              <a:gd name="T13" fmla="*/ T12 w 358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58" h="364">
                <a:moveTo>
                  <a:pt x="0" y="0"/>
                </a:moveTo>
                <a:lnTo>
                  <a:pt x="0" y="300"/>
                </a:lnTo>
                <a:moveTo>
                  <a:pt x="358" y="0"/>
                </a:moveTo>
                <a:lnTo>
                  <a:pt x="358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9" name="AutoShape 18">
            <a:extLst>
              <a:ext uri="{FF2B5EF4-FFF2-40B4-BE49-F238E27FC236}">
                <a16:creationId xmlns:a16="http://schemas.microsoft.com/office/drawing/2014/main" id="{76D94290-3A5C-4B5A-B03F-FD83A2BCA0ED}"/>
              </a:ext>
            </a:extLst>
          </xdr:cNvPr>
          <xdr:cNvSpPr>
            <a:spLocks/>
          </xdr:cNvSpPr>
        </xdr:nvSpPr>
        <xdr:spPr bwMode="auto">
          <a:xfrm>
            <a:off x="3551" y="1180"/>
            <a:ext cx="536" cy="374"/>
          </a:xfrm>
          <a:custGeom>
            <a:avLst/>
            <a:gdLst>
              <a:gd name="T0" fmla="+- 0 3748 3551"/>
              <a:gd name="T1" fmla="*/ T0 w 536"/>
              <a:gd name="T2" fmla="+- 0 1293 1181"/>
              <a:gd name="T3" fmla="*/ 1293 h 374"/>
              <a:gd name="T4" fmla="+- 0 3683 3551"/>
              <a:gd name="T5" fmla="*/ T4 w 536"/>
              <a:gd name="T6" fmla="+- 0 1293 1181"/>
              <a:gd name="T7" fmla="*/ 1293 h 374"/>
              <a:gd name="T8" fmla="+- 0 3786 3551"/>
              <a:gd name="T9" fmla="*/ T8 w 536"/>
              <a:gd name="T10" fmla="+- 0 1530 1181"/>
              <a:gd name="T11" fmla="*/ 1530 h 374"/>
              <a:gd name="T12" fmla="+- 0 3792 3551"/>
              <a:gd name="T13" fmla="*/ T12 w 536"/>
              <a:gd name="T14" fmla="+- 0 1541 1181"/>
              <a:gd name="T15" fmla="*/ 1541 h 374"/>
              <a:gd name="T16" fmla="+- 0 3799 3551"/>
              <a:gd name="T17" fmla="*/ T16 w 536"/>
              <a:gd name="T18" fmla="+- 0 1548 1181"/>
              <a:gd name="T19" fmla="*/ 1548 h 374"/>
              <a:gd name="T20" fmla="+- 0 3808 3551"/>
              <a:gd name="T21" fmla="*/ T20 w 536"/>
              <a:gd name="T22" fmla="+- 0 1553 1181"/>
              <a:gd name="T23" fmla="*/ 1553 h 374"/>
              <a:gd name="T24" fmla="+- 0 3819 3551"/>
              <a:gd name="T25" fmla="*/ T24 w 536"/>
              <a:gd name="T26" fmla="+- 0 1554 1181"/>
              <a:gd name="T27" fmla="*/ 1554 h 374"/>
              <a:gd name="T28" fmla="+- 0 3826 3551"/>
              <a:gd name="T29" fmla="*/ T28 w 536"/>
              <a:gd name="T30" fmla="+- 0 1554 1181"/>
              <a:gd name="T31" fmla="*/ 1554 h 374"/>
              <a:gd name="T32" fmla="+- 0 3833 3551"/>
              <a:gd name="T33" fmla="*/ T32 w 536"/>
              <a:gd name="T34" fmla="+- 0 1552 1181"/>
              <a:gd name="T35" fmla="*/ 1552 h 374"/>
              <a:gd name="T36" fmla="+- 0 3843 3551"/>
              <a:gd name="T37" fmla="*/ T36 w 536"/>
              <a:gd name="T38" fmla="+- 0 1544 1181"/>
              <a:gd name="T39" fmla="*/ 1544 h 374"/>
              <a:gd name="T40" fmla="+- 0 3847 3551"/>
              <a:gd name="T41" fmla="*/ T40 w 536"/>
              <a:gd name="T42" fmla="+- 0 1538 1181"/>
              <a:gd name="T43" fmla="*/ 1538 h 374"/>
              <a:gd name="T44" fmla="+- 0 3851 3551"/>
              <a:gd name="T45" fmla="*/ T44 w 536"/>
              <a:gd name="T46" fmla="+- 0 1530 1181"/>
              <a:gd name="T47" fmla="*/ 1530 h 374"/>
              <a:gd name="T48" fmla="+- 0 3882 3551"/>
              <a:gd name="T49" fmla="*/ T48 w 536"/>
              <a:gd name="T50" fmla="+- 0 1460 1181"/>
              <a:gd name="T51" fmla="*/ 1460 h 374"/>
              <a:gd name="T52" fmla="+- 0 3820 3551"/>
              <a:gd name="T53" fmla="*/ T52 w 536"/>
              <a:gd name="T54" fmla="+- 0 1460 1181"/>
              <a:gd name="T55" fmla="*/ 1460 h 374"/>
              <a:gd name="T56" fmla="+- 0 3748 3551"/>
              <a:gd name="T57" fmla="*/ T56 w 536"/>
              <a:gd name="T58" fmla="+- 0 1293 1181"/>
              <a:gd name="T59" fmla="*/ 1293 h 374"/>
              <a:gd name="T60" fmla="+- 0 3683 3551"/>
              <a:gd name="T61" fmla="*/ T60 w 536"/>
              <a:gd name="T62" fmla="+- 0 1181 1181"/>
              <a:gd name="T63" fmla="*/ 1181 h 374"/>
              <a:gd name="T64" fmla="+- 0 3676 3551"/>
              <a:gd name="T65" fmla="*/ T64 w 536"/>
              <a:gd name="T66" fmla="+- 0 1181 1181"/>
              <a:gd name="T67" fmla="*/ 1181 h 374"/>
              <a:gd name="T68" fmla="+- 0 3665 3551"/>
              <a:gd name="T69" fmla="*/ T68 w 536"/>
              <a:gd name="T70" fmla="+- 0 1182 1181"/>
              <a:gd name="T71" fmla="*/ 1182 h 374"/>
              <a:gd name="T72" fmla="+- 0 3656 3551"/>
              <a:gd name="T73" fmla="*/ T72 w 536"/>
              <a:gd name="T74" fmla="+- 0 1187 1181"/>
              <a:gd name="T75" fmla="*/ 1187 h 374"/>
              <a:gd name="T76" fmla="+- 0 3649 3551"/>
              <a:gd name="T77" fmla="*/ T76 w 536"/>
              <a:gd name="T78" fmla="+- 0 1195 1181"/>
              <a:gd name="T79" fmla="*/ 1195 h 374"/>
              <a:gd name="T80" fmla="+- 0 3645 3551"/>
              <a:gd name="T81" fmla="*/ T80 w 536"/>
              <a:gd name="T82" fmla="+- 0 1207 1181"/>
              <a:gd name="T83" fmla="*/ 1207 h 374"/>
              <a:gd name="T84" fmla="+- 0 3551 3551"/>
              <a:gd name="T85" fmla="*/ T84 w 536"/>
              <a:gd name="T86" fmla="+- 0 1549 1181"/>
              <a:gd name="T87" fmla="*/ 1549 h 374"/>
              <a:gd name="T88" fmla="+- 0 3614 3551"/>
              <a:gd name="T89" fmla="*/ T88 w 536"/>
              <a:gd name="T90" fmla="+- 0 1549 1181"/>
              <a:gd name="T91" fmla="*/ 1549 h 374"/>
              <a:gd name="T92" fmla="+- 0 3683 3551"/>
              <a:gd name="T93" fmla="*/ T92 w 536"/>
              <a:gd name="T94" fmla="+- 0 1293 1181"/>
              <a:gd name="T95" fmla="*/ 1293 h 374"/>
              <a:gd name="T96" fmla="+- 0 3748 3551"/>
              <a:gd name="T97" fmla="*/ T96 w 536"/>
              <a:gd name="T98" fmla="+- 0 1293 1181"/>
              <a:gd name="T99" fmla="*/ 1293 h 374"/>
              <a:gd name="T100" fmla="+- 0 3708 3551"/>
              <a:gd name="T101" fmla="*/ T100 w 536"/>
              <a:gd name="T102" fmla="+- 0 1202 1181"/>
              <a:gd name="T103" fmla="*/ 1202 h 374"/>
              <a:gd name="T104" fmla="+- 0 3705 3551"/>
              <a:gd name="T105" fmla="*/ T104 w 536"/>
              <a:gd name="T106" fmla="+- 0 1195 1181"/>
              <a:gd name="T107" fmla="*/ 1195 h 374"/>
              <a:gd name="T108" fmla="+- 0 3701 3551"/>
              <a:gd name="T109" fmla="*/ T108 w 536"/>
              <a:gd name="T110" fmla="+- 0 1190 1181"/>
              <a:gd name="T111" fmla="*/ 1190 h 374"/>
              <a:gd name="T112" fmla="+- 0 3695 3551"/>
              <a:gd name="T113" fmla="*/ T112 w 536"/>
              <a:gd name="T114" fmla="+- 0 1186 1181"/>
              <a:gd name="T115" fmla="*/ 1186 h 374"/>
              <a:gd name="T116" fmla="+- 0 3689 3551"/>
              <a:gd name="T117" fmla="*/ T116 w 536"/>
              <a:gd name="T118" fmla="+- 0 1183 1181"/>
              <a:gd name="T119" fmla="*/ 1183 h 374"/>
              <a:gd name="T120" fmla="+- 0 3683 3551"/>
              <a:gd name="T121" fmla="*/ T120 w 536"/>
              <a:gd name="T122" fmla="+- 0 1181 1181"/>
              <a:gd name="T123" fmla="*/ 1181 h 374"/>
              <a:gd name="T124" fmla="+- 0 4017 3551"/>
              <a:gd name="T125" fmla="*/ T124 w 536"/>
              <a:gd name="T126" fmla="+- 0 1293 1181"/>
              <a:gd name="T127" fmla="*/ 1293 h 374"/>
              <a:gd name="T128" fmla="+- 0 3954 3551"/>
              <a:gd name="T129" fmla="*/ T128 w 536"/>
              <a:gd name="T130" fmla="+- 0 1293 1181"/>
              <a:gd name="T131" fmla="*/ 1293 h 374"/>
              <a:gd name="T132" fmla="+- 0 4024 3551"/>
              <a:gd name="T133" fmla="*/ T132 w 536"/>
              <a:gd name="T134" fmla="+- 0 1549 1181"/>
              <a:gd name="T135" fmla="*/ 1549 h 374"/>
              <a:gd name="T136" fmla="+- 0 4087 3551"/>
              <a:gd name="T137" fmla="*/ T136 w 536"/>
              <a:gd name="T138" fmla="+- 0 1549 1181"/>
              <a:gd name="T139" fmla="*/ 1549 h 374"/>
              <a:gd name="T140" fmla="+- 0 4017 3551"/>
              <a:gd name="T141" fmla="*/ T140 w 536"/>
              <a:gd name="T142" fmla="+- 0 1293 1181"/>
              <a:gd name="T143" fmla="*/ 1293 h 374"/>
              <a:gd name="T144" fmla="+- 0 3963 3551"/>
              <a:gd name="T145" fmla="*/ T144 w 536"/>
              <a:gd name="T146" fmla="+- 0 1181 1181"/>
              <a:gd name="T147" fmla="*/ 1181 h 374"/>
              <a:gd name="T148" fmla="+- 0 3949 3551"/>
              <a:gd name="T149" fmla="*/ T148 w 536"/>
              <a:gd name="T150" fmla="+- 0 1181 1181"/>
              <a:gd name="T151" fmla="*/ 1181 h 374"/>
              <a:gd name="T152" fmla="+- 0 3938 3551"/>
              <a:gd name="T153" fmla="*/ T152 w 536"/>
              <a:gd name="T154" fmla="+- 0 1188 1181"/>
              <a:gd name="T155" fmla="*/ 1188 h 374"/>
              <a:gd name="T156" fmla="+- 0 3932 3551"/>
              <a:gd name="T157" fmla="*/ T156 w 536"/>
              <a:gd name="T158" fmla="+- 0 1202 1181"/>
              <a:gd name="T159" fmla="*/ 1202 h 374"/>
              <a:gd name="T160" fmla="+- 0 3820 3551"/>
              <a:gd name="T161" fmla="*/ T160 w 536"/>
              <a:gd name="T162" fmla="+- 0 1460 1181"/>
              <a:gd name="T163" fmla="*/ 1460 h 374"/>
              <a:gd name="T164" fmla="+- 0 3882 3551"/>
              <a:gd name="T165" fmla="*/ T164 w 536"/>
              <a:gd name="T166" fmla="+- 0 1460 1181"/>
              <a:gd name="T167" fmla="*/ 1460 h 374"/>
              <a:gd name="T168" fmla="+- 0 3954 3551"/>
              <a:gd name="T169" fmla="*/ T168 w 536"/>
              <a:gd name="T170" fmla="+- 0 1293 1181"/>
              <a:gd name="T171" fmla="*/ 1293 h 374"/>
              <a:gd name="T172" fmla="+- 0 4017 3551"/>
              <a:gd name="T173" fmla="*/ T172 w 536"/>
              <a:gd name="T174" fmla="+- 0 1293 1181"/>
              <a:gd name="T175" fmla="*/ 1293 h 374"/>
              <a:gd name="T176" fmla="+- 0 3994 3551"/>
              <a:gd name="T177" fmla="*/ T176 w 536"/>
              <a:gd name="T178" fmla="+- 0 1207 1181"/>
              <a:gd name="T179" fmla="*/ 1207 h 374"/>
              <a:gd name="T180" fmla="+- 0 3989 3551"/>
              <a:gd name="T181" fmla="*/ T180 w 536"/>
              <a:gd name="T182" fmla="+- 0 1195 1181"/>
              <a:gd name="T183" fmla="*/ 1195 h 374"/>
              <a:gd name="T184" fmla="+- 0 3982 3551"/>
              <a:gd name="T185" fmla="*/ T184 w 536"/>
              <a:gd name="T186" fmla="+- 0 1187 1181"/>
              <a:gd name="T187" fmla="*/ 1187 h 374"/>
              <a:gd name="T188" fmla="+- 0 3974 3551"/>
              <a:gd name="T189" fmla="*/ T188 w 536"/>
              <a:gd name="T190" fmla="+- 0 1182 1181"/>
              <a:gd name="T191" fmla="*/ 1182 h 374"/>
              <a:gd name="T192" fmla="+- 0 3963 3551"/>
              <a:gd name="T193" fmla="*/ T192 w 536"/>
              <a:gd name="T194" fmla="+- 0 1181 1181"/>
              <a:gd name="T195" fmla="*/ 1181 h 37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536" h="374">
                <a:moveTo>
                  <a:pt x="197" y="112"/>
                </a:moveTo>
                <a:lnTo>
                  <a:pt x="132" y="112"/>
                </a:lnTo>
                <a:lnTo>
                  <a:pt x="235" y="349"/>
                </a:lnTo>
                <a:lnTo>
                  <a:pt x="241" y="360"/>
                </a:lnTo>
                <a:lnTo>
                  <a:pt x="248" y="367"/>
                </a:lnTo>
                <a:lnTo>
                  <a:pt x="257" y="372"/>
                </a:lnTo>
                <a:lnTo>
                  <a:pt x="268" y="373"/>
                </a:lnTo>
                <a:lnTo>
                  <a:pt x="275" y="373"/>
                </a:lnTo>
                <a:lnTo>
                  <a:pt x="282" y="371"/>
                </a:lnTo>
                <a:lnTo>
                  <a:pt x="292" y="363"/>
                </a:lnTo>
                <a:lnTo>
                  <a:pt x="296" y="357"/>
                </a:lnTo>
                <a:lnTo>
                  <a:pt x="300" y="349"/>
                </a:lnTo>
                <a:lnTo>
                  <a:pt x="331" y="279"/>
                </a:lnTo>
                <a:lnTo>
                  <a:pt x="269" y="279"/>
                </a:lnTo>
                <a:lnTo>
                  <a:pt x="197" y="112"/>
                </a:lnTo>
                <a:close/>
                <a:moveTo>
                  <a:pt x="132" y="0"/>
                </a:moveTo>
                <a:lnTo>
                  <a:pt x="125" y="0"/>
                </a:lnTo>
                <a:lnTo>
                  <a:pt x="114" y="1"/>
                </a:lnTo>
                <a:lnTo>
                  <a:pt x="105" y="6"/>
                </a:lnTo>
                <a:lnTo>
                  <a:pt x="98" y="14"/>
                </a:lnTo>
                <a:lnTo>
                  <a:pt x="94" y="26"/>
                </a:lnTo>
                <a:lnTo>
                  <a:pt x="0" y="368"/>
                </a:lnTo>
                <a:lnTo>
                  <a:pt x="63" y="368"/>
                </a:lnTo>
                <a:lnTo>
                  <a:pt x="132" y="112"/>
                </a:lnTo>
                <a:lnTo>
                  <a:pt x="197" y="112"/>
                </a:lnTo>
                <a:lnTo>
                  <a:pt x="157" y="21"/>
                </a:lnTo>
                <a:lnTo>
                  <a:pt x="154" y="14"/>
                </a:lnTo>
                <a:lnTo>
                  <a:pt x="150" y="9"/>
                </a:lnTo>
                <a:lnTo>
                  <a:pt x="144" y="5"/>
                </a:lnTo>
                <a:lnTo>
                  <a:pt x="138" y="2"/>
                </a:lnTo>
                <a:lnTo>
                  <a:pt x="132" y="0"/>
                </a:lnTo>
                <a:close/>
                <a:moveTo>
                  <a:pt x="466" y="112"/>
                </a:moveTo>
                <a:lnTo>
                  <a:pt x="403" y="112"/>
                </a:lnTo>
                <a:lnTo>
                  <a:pt x="473" y="368"/>
                </a:lnTo>
                <a:lnTo>
                  <a:pt x="536" y="368"/>
                </a:lnTo>
                <a:lnTo>
                  <a:pt x="466" y="112"/>
                </a:lnTo>
                <a:close/>
                <a:moveTo>
                  <a:pt x="412" y="0"/>
                </a:moveTo>
                <a:lnTo>
                  <a:pt x="398" y="0"/>
                </a:lnTo>
                <a:lnTo>
                  <a:pt x="387" y="7"/>
                </a:lnTo>
                <a:lnTo>
                  <a:pt x="381" y="21"/>
                </a:lnTo>
                <a:lnTo>
                  <a:pt x="269" y="279"/>
                </a:lnTo>
                <a:lnTo>
                  <a:pt x="331" y="279"/>
                </a:lnTo>
                <a:lnTo>
                  <a:pt x="403" y="112"/>
                </a:lnTo>
                <a:lnTo>
                  <a:pt x="466" y="112"/>
                </a:lnTo>
                <a:lnTo>
                  <a:pt x="443" y="26"/>
                </a:lnTo>
                <a:lnTo>
                  <a:pt x="438" y="14"/>
                </a:lnTo>
                <a:lnTo>
                  <a:pt x="431" y="6"/>
                </a:lnTo>
                <a:lnTo>
                  <a:pt x="423" y="1"/>
                </a:lnTo>
                <a:lnTo>
                  <a:pt x="412" y="0"/>
                </a:lnTo>
                <a:close/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20" name="AutoShape 17">
            <a:extLst>
              <a:ext uri="{FF2B5EF4-FFF2-40B4-BE49-F238E27FC236}">
                <a16:creationId xmlns:a16="http://schemas.microsoft.com/office/drawing/2014/main" id="{4BE2CFAB-9F1E-4027-AD04-D5D0279E54B3}"/>
              </a:ext>
            </a:extLst>
          </xdr:cNvPr>
          <xdr:cNvSpPr>
            <a:spLocks/>
          </xdr:cNvSpPr>
        </xdr:nvSpPr>
        <xdr:spPr bwMode="auto">
          <a:xfrm>
            <a:off x="4164" y="1185"/>
            <a:ext cx="247" cy="364"/>
          </a:xfrm>
          <a:custGeom>
            <a:avLst/>
            <a:gdLst>
              <a:gd name="T0" fmla="+- 0 4164 4164"/>
              <a:gd name="T1" fmla="*/ T0 w 247"/>
              <a:gd name="T2" fmla="+- 0 1185 1185"/>
              <a:gd name="T3" fmla="*/ 1185 h 364"/>
              <a:gd name="T4" fmla="+- 0 4164 4164"/>
              <a:gd name="T5" fmla="*/ T4 w 247"/>
              <a:gd name="T6" fmla="+- 0 1549 1185"/>
              <a:gd name="T7" fmla="*/ 1549 h 364"/>
              <a:gd name="T8" fmla="+- 0 4411 4164"/>
              <a:gd name="T9" fmla="*/ T8 w 247"/>
              <a:gd name="T10" fmla="+- 0 1249 1185"/>
              <a:gd name="T11" fmla="*/ 1249 h 364"/>
              <a:gd name="T12" fmla="+- 0 4411 4164"/>
              <a:gd name="T13" fmla="*/ T12 w 247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47" h="364">
                <a:moveTo>
                  <a:pt x="0" y="0"/>
                </a:moveTo>
                <a:lnTo>
                  <a:pt x="0" y="364"/>
                </a:lnTo>
                <a:moveTo>
                  <a:pt x="247" y="64"/>
                </a:moveTo>
                <a:lnTo>
                  <a:pt x="247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21" name="Line 16">
            <a:extLst>
              <a:ext uri="{FF2B5EF4-FFF2-40B4-BE49-F238E27FC236}">
                <a16:creationId xmlns:a16="http://schemas.microsoft.com/office/drawing/2014/main" id="{8D702284-31E2-4B97-BDB1-C1560A4B56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41" y="1217"/>
            <a:ext cx="340" cy="0"/>
          </a:xfrm>
          <a:prstGeom prst="line">
            <a:avLst/>
          </a:pr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" name="Line 15">
            <a:extLst>
              <a:ext uri="{FF2B5EF4-FFF2-40B4-BE49-F238E27FC236}">
                <a16:creationId xmlns:a16="http://schemas.microsoft.com/office/drawing/2014/main" id="{E4865187-D160-4F33-BC0A-71A3652BDF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518"/>
            <a:ext cx="325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14">
            <a:extLst>
              <a:ext uri="{FF2B5EF4-FFF2-40B4-BE49-F238E27FC236}">
                <a16:creationId xmlns:a16="http://schemas.microsoft.com/office/drawing/2014/main" id="{6984D3EB-B812-4DFC-B229-89A526A55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54" y="1248"/>
            <a:ext cx="0" cy="238"/>
          </a:xfrm>
          <a:prstGeom prst="line">
            <a:avLst/>
          </a:prstGeom>
          <a:noFill/>
          <a:ln w="40005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13">
            <a:extLst>
              <a:ext uri="{FF2B5EF4-FFF2-40B4-BE49-F238E27FC236}">
                <a16:creationId xmlns:a16="http://schemas.microsoft.com/office/drawing/2014/main" id="{57F6D5A3-0F7E-41B7-9889-86599714F1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217"/>
            <a:ext cx="325" cy="0"/>
          </a:xfrm>
          <a:prstGeom prst="line">
            <a:avLst/>
          </a:prstGeom>
          <a:noFill/>
          <a:ln w="3937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12">
            <a:extLst>
              <a:ext uri="{FF2B5EF4-FFF2-40B4-BE49-F238E27FC236}">
                <a16:creationId xmlns:a16="http://schemas.microsoft.com/office/drawing/2014/main" id="{676FA2A3-E2DD-4475-BB8E-2AA1CA0789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732" y="1364"/>
            <a:ext cx="202" cy="0"/>
          </a:xfrm>
          <a:prstGeom prst="line">
            <a:avLst/>
          </a:prstGeom>
          <a:noFill/>
          <a:ln w="3403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6" name="Picture 11">
            <a:extLst>
              <a:ext uri="{FF2B5EF4-FFF2-40B4-BE49-F238E27FC236}">
                <a16:creationId xmlns:a16="http://schemas.microsoft.com/office/drawing/2014/main" id="{C77CAD98-D84B-4F71-9ECB-0001434F80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02" y="1185"/>
            <a:ext cx="388" cy="3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27" name="Line 10">
            <a:extLst>
              <a:ext uri="{FF2B5EF4-FFF2-40B4-BE49-F238E27FC236}">
                <a16:creationId xmlns:a16="http://schemas.microsoft.com/office/drawing/2014/main" id="{18464315-8C27-45F6-9D2A-40B127B8D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85" y="23"/>
            <a:ext cx="0" cy="1922"/>
          </a:xfrm>
          <a:prstGeom prst="line">
            <a:avLst/>
          </a:prstGeom>
          <a:noFill/>
          <a:ln w="127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8" name="Text Box 9">
            <a:extLst>
              <a:ext uri="{FF2B5EF4-FFF2-40B4-BE49-F238E27FC236}">
                <a16:creationId xmlns:a16="http://schemas.microsoft.com/office/drawing/2014/main" id="{FFA0CC3C-8486-4303-B57B-D9B6A58A4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48" y="288"/>
            <a:ext cx="1806" cy="6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lnSpc>
                <a:spcPts val="109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NIF : 001616101088716.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8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AI: 16480102013.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75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RC : 16/00-1010887B16.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9" name="Text Box 8">
            <a:extLst>
              <a:ext uri="{FF2B5EF4-FFF2-40B4-BE49-F238E27FC236}">
                <a16:creationId xmlns:a16="http://schemas.microsoft.com/office/drawing/2014/main" id="{3F5CF30C-E243-46F3-B6B7-B34E4D0755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4" y="892"/>
            <a:ext cx="3052" cy="10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spcAft>
                <a:spcPts val="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</a:p>
          <a:p>
            <a:pPr>
              <a:spcBef>
                <a:spcPts val="60"/>
              </a:spcBef>
              <a:spcAft>
                <a:spcPts val="0"/>
              </a:spcAft>
            </a:pPr>
            <a:r>
              <a:rPr lang="fr-FR" sz="8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endParaRPr lang="fr-FR" sz="900">
              <a:solidFill>
                <a:srgbClr val="F3F3F3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r>
              <a:rPr lang="fr-FR" sz="9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1270000</xdr:colOff>
      <xdr:row>0</xdr:row>
      <xdr:rowOff>127000</xdr:rowOff>
    </xdr:from>
    <xdr:to>
      <xdr:col>13</xdr:col>
      <xdr:colOff>127000</xdr:colOff>
      <xdr:row>12</xdr:row>
      <xdr:rowOff>127000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2D047178-2000-401B-826F-1835D287F060}"/>
            </a:ext>
          </a:extLst>
        </xdr:cNvPr>
        <xdr:cNvGrpSpPr>
          <a:grpSpLocks/>
        </xdr:cNvGrpSpPr>
      </xdr:nvGrpSpPr>
      <xdr:grpSpPr bwMode="auto">
        <a:xfrm>
          <a:off x="1968500" y="127000"/>
          <a:ext cx="17192625" cy="2286000"/>
          <a:chOff x="0" y="0"/>
          <a:chExt cx="12246" cy="241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B030C1A-0814-44A4-965A-7D4692393AA7}"/>
              </a:ext>
            </a:extLst>
          </xdr:cNvPr>
          <xdr:cNvSpPr>
            <a:spLocks noChangeArrowheads="1"/>
          </xdr:cNvSpPr>
        </xdr:nvSpPr>
        <xdr:spPr bwMode="auto">
          <a:xfrm>
            <a:off x="4842" y="892"/>
            <a:ext cx="7403" cy="1057"/>
          </a:xfrm>
          <a:prstGeom prst="rect">
            <a:avLst/>
          </a:prstGeom>
          <a:solidFill>
            <a:srgbClr val="4D4D4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4" name="Freeform 33">
            <a:extLst>
              <a:ext uri="{FF2B5EF4-FFF2-40B4-BE49-F238E27FC236}">
                <a16:creationId xmlns:a16="http://schemas.microsoft.com/office/drawing/2014/main" id="{3B123529-1728-455F-BFDD-732ADB9187DB}"/>
              </a:ext>
            </a:extLst>
          </xdr:cNvPr>
          <xdr:cNvSpPr>
            <a:spLocks/>
          </xdr:cNvSpPr>
        </xdr:nvSpPr>
        <xdr:spPr bwMode="auto">
          <a:xfrm>
            <a:off x="0" y="0"/>
            <a:ext cx="12246" cy="2369"/>
          </a:xfrm>
          <a:custGeom>
            <a:avLst/>
            <a:gdLst>
              <a:gd name="T0" fmla="*/ 12246 w 12246"/>
              <a:gd name="T1" fmla="*/ 0 h 2369"/>
              <a:gd name="T2" fmla="*/ 0 w 12246"/>
              <a:gd name="T3" fmla="*/ 0 h 2369"/>
              <a:gd name="T4" fmla="*/ 0 w 12246"/>
              <a:gd name="T5" fmla="*/ 2369 h 2369"/>
              <a:gd name="T6" fmla="*/ 4261 w 12246"/>
              <a:gd name="T7" fmla="*/ 2369 h 2369"/>
              <a:gd name="T8" fmla="*/ 4340 w 12246"/>
              <a:gd name="T9" fmla="*/ 2367 h 2369"/>
              <a:gd name="T10" fmla="*/ 4418 w 12246"/>
              <a:gd name="T11" fmla="*/ 2364 h 2369"/>
              <a:gd name="T12" fmla="*/ 4496 w 12246"/>
              <a:gd name="T13" fmla="*/ 2358 h 2369"/>
              <a:gd name="T14" fmla="*/ 4574 w 12246"/>
              <a:gd name="T15" fmla="*/ 2349 h 2369"/>
              <a:gd name="T16" fmla="*/ 4652 w 12246"/>
              <a:gd name="T17" fmla="*/ 2338 h 2369"/>
              <a:gd name="T18" fmla="*/ 4729 w 12246"/>
              <a:gd name="T19" fmla="*/ 2325 h 2369"/>
              <a:gd name="T20" fmla="*/ 4806 w 12246"/>
              <a:gd name="T21" fmla="*/ 2309 h 2369"/>
              <a:gd name="T22" fmla="*/ 4882 w 12246"/>
              <a:gd name="T23" fmla="*/ 2291 h 2369"/>
              <a:gd name="T24" fmla="*/ 4957 w 12246"/>
              <a:gd name="T25" fmla="*/ 2271 h 2369"/>
              <a:gd name="T26" fmla="*/ 5032 w 12246"/>
              <a:gd name="T27" fmla="*/ 2248 h 2369"/>
              <a:gd name="T28" fmla="*/ 5106 w 12246"/>
              <a:gd name="T29" fmla="*/ 2223 h 2369"/>
              <a:gd name="T30" fmla="*/ 5179 w 12246"/>
              <a:gd name="T31" fmla="*/ 2196 h 2369"/>
              <a:gd name="T32" fmla="*/ 5252 w 12246"/>
              <a:gd name="T33" fmla="*/ 2167 h 2369"/>
              <a:gd name="T34" fmla="*/ 5324 w 12246"/>
              <a:gd name="T35" fmla="*/ 2135 h 2369"/>
              <a:gd name="T36" fmla="*/ 5394 w 12246"/>
              <a:gd name="T37" fmla="*/ 2101 h 2369"/>
              <a:gd name="T38" fmla="*/ 5464 w 12246"/>
              <a:gd name="T39" fmla="*/ 2065 h 2369"/>
              <a:gd name="T40" fmla="*/ 5533 w 12246"/>
              <a:gd name="T41" fmla="*/ 2026 h 2369"/>
              <a:gd name="T42" fmla="*/ 6220 w 12246"/>
              <a:gd name="T43" fmla="*/ 1627 h 2369"/>
              <a:gd name="T44" fmla="*/ 6288 w 12246"/>
              <a:gd name="T45" fmla="*/ 1589 h 2369"/>
              <a:gd name="T46" fmla="*/ 6358 w 12246"/>
              <a:gd name="T47" fmla="*/ 1552 h 2369"/>
              <a:gd name="T48" fmla="*/ 6428 w 12246"/>
              <a:gd name="T49" fmla="*/ 1516 h 2369"/>
              <a:gd name="T50" fmla="*/ 6499 w 12246"/>
              <a:gd name="T51" fmla="*/ 1483 h 2369"/>
              <a:gd name="T52" fmla="*/ 6570 w 12246"/>
              <a:gd name="T53" fmla="*/ 1451 h 2369"/>
              <a:gd name="T54" fmla="*/ 6643 w 12246"/>
              <a:gd name="T55" fmla="*/ 1421 h 2369"/>
              <a:gd name="T56" fmla="*/ 6716 w 12246"/>
              <a:gd name="T57" fmla="*/ 1393 h 2369"/>
              <a:gd name="T58" fmla="*/ 6789 w 12246"/>
              <a:gd name="T59" fmla="*/ 1366 h 2369"/>
              <a:gd name="T60" fmla="*/ 6863 w 12246"/>
              <a:gd name="T61" fmla="*/ 1341 h 2369"/>
              <a:gd name="T62" fmla="*/ 6938 w 12246"/>
              <a:gd name="T63" fmla="*/ 1318 h 2369"/>
              <a:gd name="T64" fmla="*/ 7013 w 12246"/>
              <a:gd name="T65" fmla="*/ 1297 h 2369"/>
              <a:gd name="T66" fmla="*/ 7089 w 12246"/>
              <a:gd name="T67" fmla="*/ 1278 h 2369"/>
              <a:gd name="T68" fmla="*/ 7165 w 12246"/>
              <a:gd name="T69" fmla="*/ 1260 h 2369"/>
              <a:gd name="T70" fmla="*/ 7242 w 12246"/>
              <a:gd name="T71" fmla="*/ 1244 h 2369"/>
              <a:gd name="T72" fmla="*/ 7319 w 12246"/>
              <a:gd name="T73" fmla="*/ 1230 h 2369"/>
              <a:gd name="T74" fmla="*/ 7396 w 12246"/>
              <a:gd name="T75" fmla="*/ 1218 h 2369"/>
              <a:gd name="T76" fmla="*/ 7474 w 12246"/>
              <a:gd name="T77" fmla="*/ 1208 h 2369"/>
              <a:gd name="T78" fmla="*/ 7551 w 12246"/>
              <a:gd name="T79" fmla="*/ 1199 h 2369"/>
              <a:gd name="T80" fmla="*/ 7630 w 12246"/>
              <a:gd name="T81" fmla="*/ 1193 h 2369"/>
              <a:gd name="T82" fmla="*/ 7708 w 12246"/>
              <a:gd name="T83" fmla="*/ 1188 h 2369"/>
              <a:gd name="T84" fmla="*/ 7787 w 12246"/>
              <a:gd name="T85" fmla="*/ 1185 h 2369"/>
              <a:gd name="T86" fmla="*/ 7865 w 12246"/>
              <a:gd name="T87" fmla="*/ 1184 h 2369"/>
              <a:gd name="T88" fmla="*/ 12246 w 12246"/>
              <a:gd name="T89" fmla="*/ 1184 h 2369"/>
              <a:gd name="T90" fmla="*/ 12246 w 12246"/>
              <a:gd name="T91" fmla="*/ 0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2246" h="2369">
                <a:moveTo>
                  <a:pt x="12246" y="0"/>
                </a:move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0"/>
                </a:lnTo>
                <a:close/>
              </a:path>
            </a:pathLst>
          </a:custGeom>
          <a:solidFill>
            <a:srgbClr val="4370B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5" name="Freeform 32">
            <a:extLst>
              <a:ext uri="{FF2B5EF4-FFF2-40B4-BE49-F238E27FC236}">
                <a16:creationId xmlns:a16="http://schemas.microsoft.com/office/drawing/2014/main" id="{B322EBE4-AC5E-4BE4-9A84-7E236D2061B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9130" cy="2369"/>
          </a:xfrm>
          <a:custGeom>
            <a:avLst/>
            <a:gdLst>
              <a:gd name="T0" fmla="*/ 9130 w 9130"/>
              <a:gd name="T1" fmla="*/ 1184 h 2369"/>
              <a:gd name="T2" fmla="*/ 5988 w 9130"/>
              <a:gd name="T3" fmla="*/ 0 h 2369"/>
              <a:gd name="T4" fmla="*/ 3493 w 9130"/>
              <a:gd name="T5" fmla="*/ 0 h 2369"/>
              <a:gd name="T6" fmla="*/ 0 w 9130"/>
              <a:gd name="T7" fmla="*/ 0 h 2369"/>
              <a:gd name="T8" fmla="*/ 0 w 9130"/>
              <a:gd name="T9" fmla="*/ 2369 h 2369"/>
              <a:gd name="T10" fmla="*/ 4261 w 9130"/>
              <a:gd name="T11" fmla="*/ 2369 h 2369"/>
              <a:gd name="T12" fmla="*/ 4340 w 9130"/>
              <a:gd name="T13" fmla="*/ 2367 h 2369"/>
              <a:gd name="T14" fmla="*/ 4418 w 9130"/>
              <a:gd name="T15" fmla="*/ 2364 h 2369"/>
              <a:gd name="T16" fmla="*/ 4496 w 9130"/>
              <a:gd name="T17" fmla="*/ 2358 h 2369"/>
              <a:gd name="T18" fmla="*/ 4574 w 9130"/>
              <a:gd name="T19" fmla="*/ 2349 h 2369"/>
              <a:gd name="T20" fmla="*/ 4652 w 9130"/>
              <a:gd name="T21" fmla="*/ 2338 h 2369"/>
              <a:gd name="T22" fmla="*/ 4729 w 9130"/>
              <a:gd name="T23" fmla="*/ 2325 h 2369"/>
              <a:gd name="T24" fmla="*/ 4806 w 9130"/>
              <a:gd name="T25" fmla="*/ 2309 h 2369"/>
              <a:gd name="T26" fmla="*/ 4882 w 9130"/>
              <a:gd name="T27" fmla="*/ 2291 h 2369"/>
              <a:gd name="T28" fmla="*/ 4957 w 9130"/>
              <a:gd name="T29" fmla="*/ 2271 h 2369"/>
              <a:gd name="T30" fmla="*/ 5032 w 9130"/>
              <a:gd name="T31" fmla="*/ 2248 h 2369"/>
              <a:gd name="T32" fmla="*/ 5106 w 9130"/>
              <a:gd name="T33" fmla="*/ 2223 h 2369"/>
              <a:gd name="T34" fmla="*/ 5179 w 9130"/>
              <a:gd name="T35" fmla="*/ 2196 h 2369"/>
              <a:gd name="T36" fmla="*/ 5252 w 9130"/>
              <a:gd name="T37" fmla="*/ 2167 h 2369"/>
              <a:gd name="T38" fmla="*/ 5324 w 9130"/>
              <a:gd name="T39" fmla="*/ 2135 h 2369"/>
              <a:gd name="T40" fmla="*/ 5394 w 9130"/>
              <a:gd name="T41" fmla="*/ 2101 h 2369"/>
              <a:gd name="T42" fmla="*/ 5464 w 9130"/>
              <a:gd name="T43" fmla="*/ 2065 h 2369"/>
              <a:gd name="T44" fmla="*/ 5533 w 9130"/>
              <a:gd name="T45" fmla="*/ 2026 h 2369"/>
              <a:gd name="T46" fmla="*/ 5880 w 9130"/>
              <a:gd name="T47" fmla="*/ 1824 h 2369"/>
              <a:gd name="T48" fmla="*/ 6220 w 9130"/>
              <a:gd name="T49" fmla="*/ 1627 h 2369"/>
              <a:gd name="T50" fmla="*/ 6288 w 9130"/>
              <a:gd name="T51" fmla="*/ 1589 h 2369"/>
              <a:gd name="T52" fmla="*/ 6358 w 9130"/>
              <a:gd name="T53" fmla="*/ 1552 h 2369"/>
              <a:gd name="T54" fmla="*/ 6428 w 9130"/>
              <a:gd name="T55" fmla="*/ 1516 h 2369"/>
              <a:gd name="T56" fmla="*/ 6499 w 9130"/>
              <a:gd name="T57" fmla="*/ 1483 h 2369"/>
              <a:gd name="T58" fmla="*/ 6570 w 9130"/>
              <a:gd name="T59" fmla="*/ 1451 h 2369"/>
              <a:gd name="T60" fmla="*/ 6643 w 9130"/>
              <a:gd name="T61" fmla="*/ 1421 h 2369"/>
              <a:gd name="T62" fmla="*/ 6716 w 9130"/>
              <a:gd name="T63" fmla="*/ 1393 h 2369"/>
              <a:gd name="T64" fmla="*/ 6789 w 9130"/>
              <a:gd name="T65" fmla="*/ 1366 h 2369"/>
              <a:gd name="T66" fmla="*/ 6863 w 9130"/>
              <a:gd name="T67" fmla="*/ 1341 h 2369"/>
              <a:gd name="T68" fmla="*/ 6938 w 9130"/>
              <a:gd name="T69" fmla="*/ 1318 h 2369"/>
              <a:gd name="T70" fmla="*/ 7013 w 9130"/>
              <a:gd name="T71" fmla="*/ 1297 h 2369"/>
              <a:gd name="T72" fmla="*/ 7089 w 9130"/>
              <a:gd name="T73" fmla="*/ 1278 h 2369"/>
              <a:gd name="T74" fmla="*/ 7165 w 9130"/>
              <a:gd name="T75" fmla="*/ 1260 h 2369"/>
              <a:gd name="T76" fmla="*/ 7242 w 9130"/>
              <a:gd name="T77" fmla="*/ 1244 h 2369"/>
              <a:gd name="T78" fmla="*/ 7319 w 9130"/>
              <a:gd name="T79" fmla="*/ 1230 h 2369"/>
              <a:gd name="T80" fmla="*/ 7396 w 9130"/>
              <a:gd name="T81" fmla="*/ 1218 h 2369"/>
              <a:gd name="T82" fmla="*/ 7473 w 9130"/>
              <a:gd name="T83" fmla="*/ 1208 h 2369"/>
              <a:gd name="T84" fmla="*/ 7551 w 9130"/>
              <a:gd name="T85" fmla="*/ 1199 h 2369"/>
              <a:gd name="T86" fmla="*/ 7630 w 9130"/>
              <a:gd name="T87" fmla="*/ 1193 h 2369"/>
              <a:gd name="T88" fmla="*/ 7708 w 9130"/>
              <a:gd name="T89" fmla="*/ 1188 h 2369"/>
              <a:gd name="T90" fmla="*/ 7787 w 9130"/>
              <a:gd name="T91" fmla="*/ 1185 h 2369"/>
              <a:gd name="T92" fmla="*/ 7865 w 9130"/>
              <a:gd name="T93" fmla="*/ 1184 h 2369"/>
              <a:gd name="T94" fmla="*/ 9130 w 9130"/>
              <a:gd name="T95" fmla="*/ 1184 h 236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9130" h="2369">
                <a:moveTo>
                  <a:pt x="9130" y="1184"/>
                </a:moveTo>
                <a:lnTo>
                  <a:pt x="5988" y="0"/>
                </a:lnTo>
                <a:lnTo>
                  <a:pt x="3493" y="0"/>
                </a:lnTo>
                <a:lnTo>
                  <a:pt x="0" y="0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5880" y="1824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3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9130" y="1184"/>
                </a:lnTo>
              </a:path>
            </a:pathLst>
          </a:custGeom>
          <a:solidFill>
            <a:srgbClr val="2758A8">
              <a:alpha val="29999"/>
            </a:srgbClr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6" name="AutoShape 31">
            <a:extLst>
              <a:ext uri="{FF2B5EF4-FFF2-40B4-BE49-F238E27FC236}">
                <a16:creationId xmlns:a16="http://schemas.microsoft.com/office/drawing/2014/main" id="{D4B37785-4AFD-46A1-80FD-6A7ADC51E418}"/>
              </a:ext>
            </a:extLst>
          </xdr:cNvPr>
          <xdr:cNvSpPr>
            <a:spLocks/>
          </xdr:cNvSpPr>
        </xdr:nvSpPr>
        <xdr:spPr bwMode="auto">
          <a:xfrm>
            <a:off x="0" y="50"/>
            <a:ext cx="12246" cy="2369"/>
          </a:xfrm>
          <a:custGeom>
            <a:avLst/>
            <a:gdLst>
              <a:gd name="T0" fmla="*/ 7695 w 12246"/>
              <a:gd name="T1" fmla="+- 0 1042 50"/>
              <a:gd name="T2" fmla="*/ 1042 h 2369"/>
              <a:gd name="T3" fmla="*/ 7538 w 12246"/>
              <a:gd name="T4" fmla="+- 0 1046 50"/>
              <a:gd name="T5" fmla="*/ 1046 h 2369"/>
              <a:gd name="T6" fmla="*/ 7381 w 12246"/>
              <a:gd name="T7" fmla="+- 0 1057 50"/>
              <a:gd name="T8" fmla="*/ 1057 h 2369"/>
              <a:gd name="T9" fmla="*/ 7226 w 12246"/>
              <a:gd name="T10" fmla="+- 0 1076 50"/>
              <a:gd name="T11" fmla="*/ 1076 h 2369"/>
              <a:gd name="T12" fmla="*/ 7072 w 12246"/>
              <a:gd name="T13" fmla="+- 0 1102 50"/>
              <a:gd name="T14" fmla="*/ 1102 h 2369"/>
              <a:gd name="T15" fmla="*/ 6919 w 12246"/>
              <a:gd name="T16" fmla="+- 0 1136 50"/>
              <a:gd name="T17" fmla="*/ 1136 h 2369"/>
              <a:gd name="T18" fmla="*/ 6768 w 12246"/>
              <a:gd name="T19" fmla="+- 0 1176 50"/>
              <a:gd name="T20" fmla="*/ 1176 h 2369"/>
              <a:gd name="T21" fmla="*/ 6619 w 12246"/>
              <a:gd name="T22" fmla="+- 0 1224 50"/>
              <a:gd name="T23" fmla="*/ 1224 h 2369"/>
              <a:gd name="T24" fmla="*/ 6473 w 12246"/>
              <a:gd name="T25" fmla="+- 0 1279 50"/>
              <a:gd name="T26" fmla="*/ 1279 h 2369"/>
              <a:gd name="T27" fmla="*/ 6329 w 12246"/>
              <a:gd name="T28" fmla="+- 0 1341 50"/>
              <a:gd name="T29" fmla="*/ 1341 h 2369"/>
              <a:gd name="T30" fmla="*/ 6188 w 12246"/>
              <a:gd name="T31" fmla="+- 0 1410 50"/>
              <a:gd name="T32" fmla="*/ 1410 h 2369"/>
              <a:gd name="T33" fmla="*/ 6050 w 12246"/>
              <a:gd name="T34" fmla="+- 0 1485 50"/>
              <a:gd name="T35" fmla="*/ 1485 h 2369"/>
              <a:gd name="T36" fmla="*/ 5294 w 12246"/>
              <a:gd name="T37" fmla="+- 0 1923 50"/>
              <a:gd name="T38" fmla="*/ 1923 h 2369"/>
              <a:gd name="T39" fmla="*/ 5154 w 12246"/>
              <a:gd name="T40" fmla="+- 0 1993 50"/>
              <a:gd name="T41" fmla="*/ 1993 h 2369"/>
              <a:gd name="T42" fmla="*/ 5009 w 12246"/>
              <a:gd name="T43" fmla="+- 0 2054 50"/>
              <a:gd name="T44" fmla="*/ 2054 h 2369"/>
              <a:gd name="T45" fmla="*/ 4862 w 12246"/>
              <a:gd name="T46" fmla="+- 0 2106 50"/>
              <a:gd name="T47" fmla="*/ 2106 h 2369"/>
              <a:gd name="T48" fmla="*/ 4712 w 12246"/>
              <a:gd name="T49" fmla="+- 0 2149 50"/>
              <a:gd name="T50" fmla="*/ 2149 h 2369"/>
              <a:gd name="T51" fmla="*/ 4559 w 12246"/>
              <a:gd name="T52" fmla="+- 0 2183 50"/>
              <a:gd name="T53" fmla="*/ 2183 h 2369"/>
              <a:gd name="T54" fmla="*/ 4404 w 12246"/>
              <a:gd name="T55" fmla="+- 0 2207 50"/>
              <a:gd name="T56" fmla="*/ 2207 h 2369"/>
              <a:gd name="T57" fmla="*/ 4248 w 12246"/>
              <a:gd name="T58" fmla="+- 0 2222 50"/>
              <a:gd name="T59" fmla="*/ 2222 h 2369"/>
              <a:gd name="T60" fmla="*/ 4091 w 12246"/>
              <a:gd name="T61" fmla="+- 0 2227 50"/>
              <a:gd name="T62" fmla="*/ 2227 h 2369"/>
              <a:gd name="T63" fmla="*/ 0 w 12246"/>
              <a:gd name="T64" fmla="+- 0 2419 50"/>
              <a:gd name="T65" fmla="*/ 2419 h 2369"/>
              <a:gd name="T66" fmla="*/ 4340 w 12246"/>
              <a:gd name="T67" fmla="+- 0 2417 50"/>
              <a:gd name="T68" fmla="*/ 2417 h 2369"/>
              <a:gd name="T69" fmla="*/ 4496 w 12246"/>
              <a:gd name="T70" fmla="+- 0 2408 50"/>
              <a:gd name="T71" fmla="*/ 2408 h 2369"/>
              <a:gd name="T72" fmla="*/ 4652 w 12246"/>
              <a:gd name="T73" fmla="+- 0 2388 50"/>
              <a:gd name="T74" fmla="*/ 2388 h 2369"/>
              <a:gd name="T75" fmla="*/ 4806 w 12246"/>
              <a:gd name="T76" fmla="+- 0 2359 50"/>
              <a:gd name="T77" fmla="*/ 2359 h 2369"/>
              <a:gd name="T78" fmla="*/ 4957 w 12246"/>
              <a:gd name="T79" fmla="+- 0 2321 50"/>
              <a:gd name="T80" fmla="*/ 2321 h 2369"/>
              <a:gd name="T81" fmla="*/ 5106 w 12246"/>
              <a:gd name="T82" fmla="+- 0 2273 50"/>
              <a:gd name="T83" fmla="*/ 2273 h 2369"/>
              <a:gd name="T84" fmla="*/ 5252 w 12246"/>
              <a:gd name="T85" fmla="+- 0 2217 50"/>
              <a:gd name="T86" fmla="*/ 2217 h 2369"/>
              <a:gd name="T87" fmla="*/ 5394 w 12246"/>
              <a:gd name="T88" fmla="+- 0 2151 50"/>
              <a:gd name="T89" fmla="*/ 2151 h 2369"/>
              <a:gd name="T90" fmla="*/ 5533 w 12246"/>
              <a:gd name="T91" fmla="+- 0 2076 50"/>
              <a:gd name="T92" fmla="*/ 2076 h 2369"/>
              <a:gd name="T93" fmla="*/ 6288 w 12246"/>
              <a:gd name="T94" fmla="+- 0 1639 50"/>
              <a:gd name="T95" fmla="*/ 1639 h 2369"/>
              <a:gd name="T96" fmla="*/ 6428 w 12246"/>
              <a:gd name="T97" fmla="+- 0 1566 50"/>
              <a:gd name="T98" fmla="*/ 1566 h 2369"/>
              <a:gd name="T99" fmla="*/ 6570 w 12246"/>
              <a:gd name="T100" fmla="+- 0 1501 50"/>
              <a:gd name="T101" fmla="*/ 1501 h 2369"/>
              <a:gd name="T102" fmla="*/ 6716 w 12246"/>
              <a:gd name="T103" fmla="+- 0 1443 50"/>
              <a:gd name="T104" fmla="*/ 1443 h 2369"/>
              <a:gd name="T105" fmla="*/ 6863 w 12246"/>
              <a:gd name="T106" fmla="+- 0 1391 50"/>
              <a:gd name="T107" fmla="*/ 1391 h 2369"/>
              <a:gd name="T108" fmla="*/ 7013 w 12246"/>
              <a:gd name="T109" fmla="+- 0 1347 50"/>
              <a:gd name="T110" fmla="*/ 1347 h 2369"/>
              <a:gd name="T111" fmla="*/ 7165 w 12246"/>
              <a:gd name="T112" fmla="+- 0 1310 50"/>
              <a:gd name="T113" fmla="*/ 1310 h 2369"/>
              <a:gd name="T114" fmla="*/ 7319 w 12246"/>
              <a:gd name="T115" fmla="+- 0 1280 50"/>
              <a:gd name="T116" fmla="*/ 1280 h 2369"/>
              <a:gd name="T117" fmla="*/ 7474 w 12246"/>
              <a:gd name="T118" fmla="+- 0 1258 50"/>
              <a:gd name="T119" fmla="*/ 1258 h 2369"/>
              <a:gd name="T120" fmla="*/ 7630 w 12246"/>
              <a:gd name="T121" fmla="+- 0 1243 50"/>
              <a:gd name="T122" fmla="*/ 1243 h 2369"/>
              <a:gd name="T123" fmla="*/ 7787 w 12246"/>
              <a:gd name="T124" fmla="+- 0 1235 50"/>
              <a:gd name="T125" fmla="*/ 1235 h 2369"/>
              <a:gd name="T126" fmla="*/ 12246 w 12246"/>
              <a:gd name="T127" fmla="+- 0 1234 50"/>
              <a:gd name="T128" fmla="*/ 1234 h 2369"/>
              <a:gd name="T129" fmla="*/ 12246 w 12246"/>
              <a:gd name="T130" fmla="+- 0 50 50"/>
              <a:gd name="T131" fmla="*/ 50 h 2369"/>
              <a:gd name="T132" fmla="*/ 12246 w 12246"/>
              <a:gd name="T133" fmla="+- 0 59 50"/>
              <a:gd name="T134" fmla="*/ 59 h 2369"/>
            </a:gdLst>
            <a:ahLst/>
            <a:cxnLst>
              <a:cxn ang="0">
                <a:pos x="T0" y="T2"/>
              </a:cxn>
              <a:cxn ang="0">
                <a:pos x="T3" y="T5"/>
              </a:cxn>
              <a:cxn ang="0">
                <a:pos x="T6" y="T8"/>
              </a:cxn>
              <a:cxn ang="0">
                <a:pos x="T9" y="T11"/>
              </a:cxn>
              <a:cxn ang="0">
                <a:pos x="T12" y="T14"/>
              </a:cxn>
              <a:cxn ang="0">
                <a:pos x="T15" y="T17"/>
              </a:cxn>
              <a:cxn ang="0">
                <a:pos x="T18" y="T20"/>
              </a:cxn>
              <a:cxn ang="0">
                <a:pos x="T21" y="T23"/>
              </a:cxn>
              <a:cxn ang="0">
                <a:pos x="T24" y="T26"/>
              </a:cxn>
              <a:cxn ang="0">
                <a:pos x="T27" y="T29"/>
              </a:cxn>
              <a:cxn ang="0">
                <a:pos x="T30" y="T32"/>
              </a:cxn>
              <a:cxn ang="0">
                <a:pos x="T33" y="T35"/>
              </a:cxn>
              <a:cxn ang="0">
                <a:pos x="T36" y="T38"/>
              </a:cxn>
              <a:cxn ang="0">
                <a:pos x="T39" y="T41"/>
              </a:cxn>
              <a:cxn ang="0">
                <a:pos x="T42" y="T44"/>
              </a:cxn>
              <a:cxn ang="0">
                <a:pos x="T45" y="T47"/>
              </a:cxn>
              <a:cxn ang="0">
                <a:pos x="T48" y="T50"/>
              </a:cxn>
              <a:cxn ang="0">
                <a:pos x="T51" y="T53"/>
              </a:cxn>
              <a:cxn ang="0">
                <a:pos x="T54" y="T56"/>
              </a:cxn>
              <a:cxn ang="0">
                <a:pos x="T57" y="T59"/>
              </a:cxn>
              <a:cxn ang="0">
                <a:pos x="T60" y="T62"/>
              </a:cxn>
              <a:cxn ang="0">
                <a:pos x="T63" y="T65"/>
              </a:cxn>
              <a:cxn ang="0">
                <a:pos x="T66" y="T68"/>
              </a:cxn>
              <a:cxn ang="0">
                <a:pos x="T69" y="T71"/>
              </a:cxn>
              <a:cxn ang="0">
                <a:pos x="T72" y="T74"/>
              </a:cxn>
              <a:cxn ang="0">
                <a:pos x="T75" y="T77"/>
              </a:cxn>
              <a:cxn ang="0">
                <a:pos x="T78" y="T80"/>
              </a:cxn>
              <a:cxn ang="0">
                <a:pos x="T81" y="T83"/>
              </a:cxn>
              <a:cxn ang="0">
                <a:pos x="T84" y="T86"/>
              </a:cxn>
              <a:cxn ang="0">
                <a:pos x="T87" y="T89"/>
              </a:cxn>
              <a:cxn ang="0">
                <a:pos x="T90" y="T92"/>
              </a:cxn>
              <a:cxn ang="0">
                <a:pos x="T93" y="T95"/>
              </a:cxn>
              <a:cxn ang="0">
                <a:pos x="T96" y="T98"/>
              </a:cxn>
              <a:cxn ang="0">
                <a:pos x="T99" y="T101"/>
              </a:cxn>
              <a:cxn ang="0">
                <a:pos x="T102" y="T104"/>
              </a:cxn>
              <a:cxn ang="0">
                <a:pos x="T105" y="T107"/>
              </a:cxn>
              <a:cxn ang="0">
                <a:pos x="T108" y="T110"/>
              </a:cxn>
              <a:cxn ang="0">
                <a:pos x="T111" y="T113"/>
              </a:cxn>
              <a:cxn ang="0">
                <a:pos x="T114" y="T116"/>
              </a:cxn>
              <a:cxn ang="0">
                <a:pos x="T117" y="T119"/>
              </a:cxn>
              <a:cxn ang="0">
                <a:pos x="T120" y="T122"/>
              </a:cxn>
              <a:cxn ang="0">
                <a:pos x="T123" y="T125"/>
              </a:cxn>
              <a:cxn ang="0">
                <a:pos x="T126" y="T128"/>
              </a:cxn>
              <a:cxn ang="0">
                <a:pos x="T129" y="T131"/>
              </a:cxn>
              <a:cxn ang="0">
                <a:pos x="T132" y="T134"/>
              </a:cxn>
            </a:cxnLst>
            <a:rect l="0" t="0" r="r" b="b"/>
            <a:pathLst>
              <a:path w="12246" h="2369">
                <a:moveTo>
                  <a:pt x="12246" y="992"/>
                </a:moveTo>
                <a:lnTo>
                  <a:pt x="7695" y="992"/>
                </a:lnTo>
                <a:lnTo>
                  <a:pt x="7617" y="993"/>
                </a:lnTo>
                <a:lnTo>
                  <a:pt x="7538" y="996"/>
                </a:lnTo>
                <a:lnTo>
                  <a:pt x="7460" y="1001"/>
                </a:lnTo>
                <a:lnTo>
                  <a:pt x="7381" y="1007"/>
                </a:lnTo>
                <a:lnTo>
                  <a:pt x="7303" y="1016"/>
                </a:lnTo>
                <a:lnTo>
                  <a:pt x="7226" y="1026"/>
                </a:lnTo>
                <a:lnTo>
                  <a:pt x="7148" y="1038"/>
                </a:lnTo>
                <a:lnTo>
                  <a:pt x="7072" y="1052"/>
                </a:lnTo>
                <a:lnTo>
                  <a:pt x="6995" y="1068"/>
                </a:lnTo>
                <a:lnTo>
                  <a:pt x="6919" y="1086"/>
                </a:lnTo>
                <a:lnTo>
                  <a:pt x="6843" y="1105"/>
                </a:lnTo>
                <a:lnTo>
                  <a:pt x="6768" y="1126"/>
                </a:lnTo>
                <a:lnTo>
                  <a:pt x="6693" y="1149"/>
                </a:lnTo>
                <a:lnTo>
                  <a:pt x="6619" y="1174"/>
                </a:lnTo>
                <a:lnTo>
                  <a:pt x="6545" y="1201"/>
                </a:lnTo>
                <a:lnTo>
                  <a:pt x="6473" y="1229"/>
                </a:lnTo>
                <a:lnTo>
                  <a:pt x="6400" y="1259"/>
                </a:lnTo>
                <a:lnTo>
                  <a:pt x="6329" y="1291"/>
                </a:lnTo>
                <a:lnTo>
                  <a:pt x="6258" y="1324"/>
                </a:lnTo>
                <a:lnTo>
                  <a:pt x="6188" y="1360"/>
                </a:lnTo>
                <a:lnTo>
                  <a:pt x="6118" y="1397"/>
                </a:lnTo>
                <a:lnTo>
                  <a:pt x="6050" y="1435"/>
                </a:lnTo>
                <a:lnTo>
                  <a:pt x="5363" y="1834"/>
                </a:lnTo>
                <a:lnTo>
                  <a:pt x="5294" y="1873"/>
                </a:lnTo>
                <a:lnTo>
                  <a:pt x="5224" y="1909"/>
                </a:lnTo>
                <a:lnTo>
                  <a:pt x="5154" y="1943"/>
                </a:lnTo>
                <a:lnTo>
                  <a:pt x="5082" y="1975"/>
                </a:lnTo>
                <a:lnTo>
                  <a:pt x="5009" y="2004"/>
                </a:lnTo>
                <a:lnTo>
                  <a:pt x="4936" y="2031"/>
                </a:lnTo>
                <a:lnTo>
                  <a:pt x="4862" y="2056"/>
                </a:lnTo>
                <a:lnTo>
                  <a:pt x="4787" y="2079"/>
                </a:lnTo>
                <a:lnTo>
                  <a:pt x="4712" y="2099"/>
                </a:lnTo>
                <a:lnTo>
                  <a:pt x="4635" y="2117"/>
                </a:lnTo>
                <a:lnTo>
                  <a:pt x="4559" y="2133"/>
                </a:lnTo>
                <a:lnTo>
                  <a:pt x="4482" y="2146"/>
                </a:lnTo>
                <a:lnTo>
                  <a:pt x="4404" y="2157"/>
                </a:lnTo>
                <a:lnTo>
                  <a:pt x="4326" y="2166"/>
                </a:lnTo>
                <a:lnTo>
                  <a:pt x="4248" y="2172"/>
                </a:lnTo>
                <a:lnTo>
                  <a:pt x="4169" y="2175"/>
                </a:lnTo>
                <a:lnTo>
                  <a:pt x="4091" y="2177"/>
                </a:lnTo>
                <a:lnTo>
                  <a:pt x="0" y="2177"/>
                </a:lnTo>
                <a:lnTo>
                  <a:pt x="0" y="2369"/>
                </a:lnTo>
                <a:lnTo>
                  <a:pt x="4261" y="2369"/>
                </a:lnTo>
                <a:lnTo>
                  <a:pt x="4340" y="2367"/>
                </a:lnTo>
                <a:lnTo>
                  <a:pt x="4418" y="2364"/>
                </a:lnTo>
                <a:lnTo>
                  <a:pt x="4496" y="2358"/>
                </a:lnTo>
                <a:lnTo>
                  <a:pt x="4574" y="2349"/>
                </a:lnTo>
                <a:lnTo>
                  <a:pt x="4652" y="2338"/>
                </a:lnTo>
                <a:lnTo>
                  <a:pt x="4729" y="2325"/>
                </a:lnTo>
                <a:lnTo>
                  <a:pt x="4806" y="2309"/>
                </a:lnTo>
                <a:lnTo>
                  <a:pt x="4882" y="2291"/>
                </a:lnTo>
                <a:lnTo>
                  <a:pt x="4957" y="2271"/>
                </a:lnTo>
                <a:lnTo>
                  <a:pt x="5032" y="2248"/>
                </a:lnTo>
                <a:lnTo>
                  <a:pt x="5106" y="2223"/>
                </a:lnTo>
                <a:lnTo>
                  <a:pt x="5179" y="2196"/>
                </a:lnTo>
                <a:lnTo>
                  <a:pt x="5252" y="2167"/>
                </a:lnTo>
                <a:lnTo>
                  <a:pt x="5324" y="2135"/>
                </a:lnTo>
                <a:lnTo>
                  <a:pt x="5394" y="2101"/>
                </a:lnTo>
                <a:lnTo>
                  <a:pt x="5464" y="2065"/>
                </a:lnTo>
                <a:lnTo>
                  <a:pt x="5533" y="2026"/>
                </a:lnTo>
                <a:lnTo>
                  <a:pt x="6220" y="1627"/>
                </a:lnTo>
                <a:lnTo>
                  <a:pt x="6288" y="1589"/>
                </a:lnTo>
                <a:lnTo>
                  <a:pt x="6358" y="1552"/>
                </a:lnTo>
                <a:lnTo>
                  <a:pt x="6428" y="1516"/>
                </a:lnTo>
                <a:lnTo>
                  <a:pt x="6499" y="1483"/>
                </a:lnTo>
                <a:lnTo>
                  <a:pt x="6570" y="1451"/>
                </a:lnTo>
                <a:lnTo>
                  <a:pt x="6643" y="1421"/>
                </a:lnTo>
                <a:lnTo>
                  <a:pt x="6716" y="1393"/>
                </a:lnTo>
                <a:lnTo>
                  <a:pt x="6789" y="1366"/>
                </a:lnTo>
                <a:lnTo>
                  <a:pt x="6863" y="1341"/>
                </a:lnTo>
                <a:lnTo>
                  <a:pt x="6938" y="1318"/>
                </a:lnTo>
                <a:lnTo>
                  <a:pt x="7013" y="1297"/>
                </a:lnTo>
                <a:lnTo>
                  <a:pt x="7089" y="1278"/>
                </a:lnTo>
                <a:lnTo>
                  <a:pt x="7165" y="1260"/>
                </a:lnTo>
                <a:lnTo>
                  <a:pt x="7242" y="1244"/>
                </a:lnTo>
                <a:lnTo>
                  <a:pt x="7319" y="1230"/>
                </a:lnTo>
                <a:lnTo>
                  <a:pt x="7396" y="1218"/>
                </a:lnTo>
                <a:lnTo>
                  <a:pt x="7474" y="1208"/>
                </a:lnTo>
                <a:lnTo>
                  <a:pt x="7551" y="1199"/>
                </a:lnTo>
                <a:lnTo>
                  <a:pt x="7630" y="1193"/>
                </a:lnTo>
                <a:lnTo>
                  <a:pt x="7708" y="1188"/>
                </a:lnTo>
                <a:lnTo>
                  <a:pt x="7787" y="1185"/>
                </a:lnTo>
                <a:lnTo>
                  <a:pt x="7865" y="1184"/>
                </a:lnTo>
                <a:lnTo>
                  <a:pt x="12246" y="1184"/>
                </a:lnTo>
                <a:lnTo>
                  <a:pt x="12246" y="992"/>
                </a:lnTo>
                <a:moveTo>
                  <a:pt x="12246" y="0"/>
                </a:moveTo>
                <a:lnTo>
                  <a:pt x="12238" y="0"/>
                </a:lnTo>
                <a:lnTo>
                  <a:pt x="12246" y="9"/>
                </a:lnTo>
                <a:lnTo>
                  <a:pt x="12246" y="0"/>
                </a:lnTo>
              </a:path>
            </a:pathLst>
          </a:cu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7" name="AutoShape 30">
            <a:extLst>
              <a:ext uri="{FF2B5EF4-FFF2-40B4-BE49-F238E27FC236}">
                <a16:creationId xmlns:a16="http://schemas.microsoft.com/office/drawing/2014/main" id="{B3E70EBC-2DD1-48DF-9B5A-7E90964099CD}"/>
              </a:ext>
            </a:extLst>
          </xdr:cNvPr>
          <xdr:cNvSpPr>
            <a:spLocks/>
          </xdr:cNvSpPr>
        </xdr:nvSpPr>
        <xdr:spPr bwMode="auto">
          <a:xfrm>
            <a:off x="759" y="759"/>
            <a:ext cx="3046" cy="850"/>
          </a:xfrm>
          <a:custGeom>
            <a:avLst/>
            <a:gdLst>
              <a:gd name="T0" fmla="+- 0 2906 760"/>
              <a:gd name="T1" fmla="*/ T0 w 3046"/>
              <a:gd name="T2" fmla="+- 0 1248 760"/>
              <a:gd name="T3" fmla="*/ 1248 h 850"/>
              <a:gd name="T4" fmla="+- 0 2822 760"/>
              <a:gd name="T5" fmla="*/ T4 w 3046"/>
              <a:gd name="T6" fmla="+- 0 1166 760"/>
              <a:gd name="T7" fmla="*/ 1166 h 850"/>
              <a:gd name="T8" fmla="+- 0 2829 760"/>
              <a:gd name="T9" fmla="*/ T8 w 3046"/>
              <a:gd name="T10" fmla="+- 0 1140 760"/>
              <a:gd name="T11" fmla="*/ 1140 h 850"/>
              <a:gd name="T12" fmla="+- 0 2868 760"/>
              <a:gd name="T13" fmla="*/ T12 w 3046"/>
              <a:gd name="T14" fmla="+- 0 1108 760"/>
              <a:gd name="T15" fmla="*/ 1108 h 850"/>
              <a:gd name="T16" fmla="+- 0 2897 760"/>
              <a:gd name="T17" fmla="*/ T16 w 3046"/>
              <a:gd name="T18" fmla="+- 0 1061 760"/>
              <a:gd name="T19" fmla="*/ 1061 h 850"/>
              <a:gd name="T20" fmla="+- 0 2911 760"/>
              <a:gd name="T21" fmla="*/ T20 w 3046"/>
              <a:gd name="T22" fmla="+- 0 996 760"/>
              <a:gd name="T23" fmla="*/ 996 h 850"/>
              <a:gd name="T24" fmla="+- 0 2901 760"/>
              <a:gd name="T25" fmla="*/ T24 w 3046"/>
              <a:gd name="T26" fmla="+- 0 906 760"/>
              <a:gd name="T27" fmla="*/ 906 h 850"/>
              <a:gd name="T28" fmla="+- 0 2868 760"/>
              <a:gd name="T29" fmla="*/ T28 w 3046"/>
              <a:gd name="T30" fmla="+- 0 845 760"/>
              <a:gd name="T31" fmla="*/ 845 h 850"/>
              <a:gd name="T32" fmla="+- 0 2797 760"/>
              <a:gd name="T33" fmla="*/ T32 w 3046"/>
              <a:gd name="T34" fmla="+- 0 791 760"/>
              <a:gd name="T35" fmla="*/ 791 h 850"/>
              <a:gd name="T36" fmla="+- 0 2774 760"/>
              <a:gd name="T37" fmla="*/ T36 w 3046"/>
              <a:gd name="T38" fmla="+- 0 1370 760"/>
              <a:gd name="T39" fmla="*/ 1370 h 850"/>
              <a:gd name="T40" fmla="+- 0 2748 760"/>
              <a:gd name="T41" fmla="*/ T40 w 3046"/>
              <a:gd name="T42" fmla="+- 0 1412 760"/>
              <a:gd name="T43" fmla="*/ 1412 h 850"/>
              <a:gd name="T44" fmla="+- 0 2700 760"/>
              <a:gd name="T45" fmla="*/ T44 w 3046"/>
              <a:gd name="T46" fmla="+- 0 1439 760"/>
              <a:gd name="T47" fmla="*/ 1439 h 850"/>
              <a:gd name="T48" fmla="+- 0 2634 760"/>
              <a:gd name="T49" fmla="*/ T48 w 3046"/>
              <a:gd name="T50" fmla="+- 0 1451 760"/>
              <a:gd name="T51" fmla="*/ 1451 h 850"/>
              <a:gd name="T52" fmla="+- 0 2173 760"/>
              <a:gd name="T53" fmla="*/ T52 w 3046"/>
              <a:gd name="T54" fmla="+- 0 906 760"/>
              <a:gd name="T55" fmla="*/ 906 h 850"/>
              <a:gd name="T56" fmla="+- 0 2641 760"/>
              <a:gd name="T57" fmla="*/ T56 w 3046"/>
              <a:gd name="T58" fmla="+- 0 908 760"/>
              <a:gd name="T59" fmla="*/ 908 h 850"/>
              <a:gd name="T60" fmla="+- 0 2701 760"/>
              <a:gd name="T61" fmla="*/ T60 w 3046"/>
              <a:gd name="T62" fmla="+- 0 919 760"/>
              <a:gd name="T63" fmla="*/ 919 h 850"/>
              <a:gd name="T64" fmla="+- 0 2743 760"/>
              <a:gd name="T65" fmla="*/ T64 w 3046"/>
              <a:gd name="T66" fmla="+- 0 946 760"/>
              <a:gd name="T67" fmla="*/ 946 h 850"/>
              <a:gd name="T68" fmla="+- 0 2762 760"/>
              <a:gd name="T69" fmla="*/ T68 w 3046"/>
              <a:gd name="T70" fmla="+- 0 993 760"/>
              <a:gd name="T71" fmla="*/ 993 h 850"/>
              <a:gd name="T72" fmla="+- 0 2746 760"/>
              <a:gd name="T73" fmla="*/ T72 w 3046"/>
              <a:gd name="T74" fmla="+- 0 1074 760"/>
              <a:gd name="T75" fmla="*/ 1074 h 850"/>
              <a:gd name="T76" fmla="+- 0 2670 760"/>
              <a:gd name="T77" fmla="*/ T76 w 3046"/>
              <a:gd name="T78" fmla="+- 0 1109 760"/>
              <a:gd name="T79" fmla="*/ 1109 h 850"/>
              <a:gd name="T80" fmla="+- 0 2651 760"/>
              <a:gd name="T81" fmla="*/ T80 w 3046"/>
              <a:gd name="T82" fmla="+- 0 1233 760"/>
              <a:gd name="T83" fmla="*/ 1233 h 850"/>
              <a:gd name="T84" fmla="+- 0 2745 760"/>
              <a:gd name="T85" fmla="*/ T84 w 3046"/>
              <a:gd name="T86" fmla="+- 0 1261 760"/>
              <a:gd name="T87" fmla="*/ 1261 h 850"/>
              <a:gd name="T88" fmla="+- 0 2778 760"/>
              <a:gd name="T89" fmla="*/ T88 w 3046"/>
              <a:gd name="T90" fmla="+- 0 1341 760"/>
              <a:gd name="T91" fmla="*/ 1341 h 850"/>
              <a:gd name="T92" fmla="+- 0 2725 760"/>
              <a:gd name="T93" fmla="*/ T92 w 3046"/>
              <a:gd name="T94" fmla="+- 0 767 760"/>
              <a:gd name="T95" fmla="*/ 767 h 850"/>
              <a:gd name="T96" fmla="+- 0 2187 760"/>
              <a:gd name="T97" fmla="*/ T96 w 3046"/>
              <a:gd name="T98" fmla="+- 0 760 760"/>
              <a:gd name="T99" fmla="*/ 760 h 850"/>
              <a:gd name="T100" fmla="+- 0 1639 760"/>
              <a:gd name="T101" fmla="*/ T100 w 3046"/>
              <a:gd name="T102" fmla="+- 0 1317 760"/>
              <a:gd name="T103" fmla="*/ 1317 h 850"/>
              <a:gd name="T104" fmla="+- 0 1274 760"/>
              <a:gd name="T105" fmla="*/ T104 w 3046"/>
              <a:gd name="T106" fmla="+- 0 1404 760"/>
              <a:gd name="T107" fmla="*/ 1404 h 850"/>
              <a:gd name="T108" fmla="+- 0 1207 760"/>
              <a:gd name="T109" fmla="*/ T108 w 3046"/>
              <a:gd name="T110" fmla="+- 0 1583 760"/>
              <a:gd name="T111" fmla="*/ 1583 h 850"/>
              <a:gd name="T112" fmla="+- 0 1280 760"/>
              <a:gd name="T113" fmla="*/ T112 w 3046"/>
              <a:gd name="T114" fmla="+- 0 1608 760"/>
              <a:gd name="T115" fmla="*/ 1608 h 850"/>
              <a:gd name="T116" fmla="+- 0 1321 760"/>
              <a:gd name="T117" fmla="*/ T116 w 3046"/>
              <a:gd name="T118" fmla="+- 0 1591 760"/>
              <a:gd name="T119" fmla="*/ 1591 h 850"/>
              <a:gd name="T120" fmla="+- 0 1428 760"/>
              <a:gd name="T121" fmla="*/ T120 w 3046"/>
              <a:gd name="T122" fmla="+- 0 1404 760"/>
              <a:gd name="T123" fmla="*/ 1404 h 850"/>
              <a:gd name="T124" fmla="+- 0 1618 760"/>
              <a:gd name="T125" fmla="*/ T124 w 3046"/>
              <a:gd name="T126" fmla="+- 0 1583 760"/>
              <a:gd name="T127" fmla="*/ 1583 h 850"/>
              <a:gd name="T128" fmla="+- 0 1656 760"/>
              <a:gd name="T129" fmla="*/ T128 w 3046"/>
              <a:gd name="T130" fmla="+- 0 1606 760"/>
              <a:gd name="T131" fmla="*/ 1606 h 850"/>
              <a:gd name="T132" fmla="+- 0 1700 760"/>
              <a:gd name="T133" fmla="*/ T132 w 3046"/>
              <a:gd name="T134" fmla="+- 0 1606 760"/>
              <a:gd name="T135" fmla="*/ 1606 h 850"/>
              <a:gd name="T136" fmla="+- 0 1739 760"/>
              <a:gd name="T137" fmla="*/ T136 w 3046"/>
              <a:gd name="T138" fmla="+- 0 1583 760"/>
              <a:gd name="T139" fmla="*/ 1583 h 850"/>
              <a:gd name="T140" fmla="+- 0 2027 760"/>
              <a:gd name="T141" fmla="*/ T140 w 3046"/>
              <a:gd name="T142" fmla="+- 0 1057 760"/>
              <a:gd name="T143" fmla="*/ 1057 h 850"/>
              <a:gd name="T144" fmla="+- 0 2715 760"/>
              <a:gd name="T145" fmla="*/ T144 w 3046"/>
              <a:gd name="T146" fmla="+- 0 1593 760"/>
              <a:gd name="T147" fmla="*/ 1593 h 850"/>
              <a:gd name="T148" fmla="+- 0 2814 760"/>
              <a:gd name="T149" fmla="*/ T148 w 3046"/>
              <a:gd name="T150" fmla="+- 0 1558 760"/>
              <a:gd name="T151" fmla="*/ 1558 h 850"/>
              <a:gd name="T152" fmla="+- 0 2884 760"/>
              <a:gd name="T153" fmla="*/ T152 w 3046"/>
              <a:gd name="T154" fmla="+- 0 1492 760"/>
              <a:gd name="T155" fmla="*/ 1492 h 850"/>
              <a:gd name="T156" fmla="+- 0 2915 760"/>
              <a:gd name="T157" fmla="*/ T156 w 3046"/>
              <a:gd name="T158" fmla="+- 0 1424 760"/>
              <a:gd name="T159" fmla="*/ 1424 h 850"/>
              <a:gd name="T160" fmla="+- 0 3516 760"/>
              <a:gd name="T161" fmla="*/ T160 w 3046"/>
              <a:gd name="T162" fmla="+- 0 818 760"/>
              <a:gd name="T163" fmla="*/ 818 h 850"/>
              <a:gd name="T164" fmla="+- 0 3253 760"/>
              <a:gd name="T165" fmla="*/ T164 w 3046"/>
              <a:gd name="T166" fmla="+- 0 818 760"/>
              <a:gd name="T167" fmla="*/ 818 h 850"/>
              <a:gd name="T168" fmla="+- 0 3119 760"/>
              <a:gd name="T169" fmla="*/ T168 w 3046"/>
              <a:gd name="T170" fmla="+- 0 818 760"/>
              <a:gd name="T171" fmla="*/ 818 h 850"/>
              <a:gd name="T172" fmla="+- 0 3214 760"/>
              <a:gd name="T173" fmla="*/ T172 w 3046"/>
              <a:gd name="T174" fmla="+- 0 1088 760"/>
              <a:gd name="T175" fmla="*/ 1088 h 850"/>
              <a:gd name="T176" fmla="+- 0 3242 760"/>
              <a:gd name="T177" fmla="*/ T176 w 3046"/>
              <a:gd name="T178" fmla="+- 0 1082 760"/>
              <a:gd name="T179" fmla="*/ 1082 h 850"/>
              <a:gd name="T180" fmla="+- 0 3290 760"/>
              <a:gd name="T181" fmla="*/ T180 w 3046"/>
              <a:gd name="T182" fmla="+- 0 995 760"/>
              <a:gd name="T183" fmla="*/ 995 h 850"/>
              <a:gd name="T184" fmla="+- 0 3350 760"/>
              <a:gd name="T185" fmla="*/ T184 w 3046"/>
              <a:gd name="T186" fmla="+- 0 1088 760"/>
              <a:gd name="T187" fmla="*/ 1088 h 850"/>
              <a:gd name="T188" fmla="+- 0 3376 760"/>
              <a:gd name="T189" fmla="*/ T188 w 3046"/>
              <a:gd name="T190" fmla="+- 0 1078 760"/>
              <a:gd name="T191" fmla="*/ 1078 h 850"/>
              <a:gd name="T192" fmla="+- 0 3759 760"/>
              <a:gd name="T193" fmla="*/ T192 w 3046"/>
              <a:gd name="T194" fmla="+- 0 969 760"/>
              <a:gd name="T195" fmla="*/ 969 h 85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3046" h="850">
                <a:moveTo>
                  <a:pt x="2166" y="584"/>
                </a:moveTo>
                <a:lnTo>
                  <a:pt x="2164" y="549"/>
                </a:lnTo>
                <a:lnTo>
                  <a:pt x="2157" y="517"/>
                </a:lnTo>
                <a:lnTo>
                  <a:pt x="2146" y="488"/>
                </a:lnTo>
                <a:lnTo>
                  <a:pt x="2129" y="462"/>
                </a:lnTo>
                <a:lnTo>
                  <a:pt x="2110" y="440"/>
                </a:lnTo>
                <a:lnTo>
                  <a:pt x="2087" y="421"/>
                </a:lnTo>
                <a:lnTo>
                  <a:pt x="2062" y="406"/>
                </a:lnTo>
                <a:lnTo>
                  <a:pt x="2035" y="395"/>
                </a:lnTo>
                <a:lnTo>
                  <a:pt x="2046" y="391"/>
                </a:lnTo>
                <a:lnTo>
                  <a:pt x="2058" y="386"/>
                </a:lnTo>
                <a:lnTo>
                  <a:pt x="2069" y="380"/>
                </a:lnTo>
                <a:lnTo>
                  <a:pt x="2079" y="374"/>
                </a:lnTo>
                <a:lnTo>
                  <a:pt x="2090" y="366"/>
                </a:lnTo>
                <a:lnTo>
                  <a:pt x="2099" y="358"/>
                </a:lnTo>
                <a:lnTo>
                  <a:pt x="2108" y="348"/>
                </a:lnTo>
                <a:lnTo>
                  <a:pt x="2117" y="338"/>
                </a:lnTo>
                <a:lnTo>
                  <a:pt x="2124" y="327"/>
                </a:lnTo>
                <a:lnTo>
                  <a:pt x="2131" y="314"/>
                </a:lnTo>
                <a:lnTo>
                  <a:pt x="2137" y="301"/>
                </a:lnTo>
                <a:lnTo>
                  <a:pt x="2142" y="287"/>
                </a:lnTo>
                <a:lnTo>
                  <a:pt x="2146" y="271"/>
                </a:lnTo>
                <a:lnTo>
                  <a:pt x="2149" y="254"/>
                </a:lnTo>
                <a:lnTo>
                  <a:pt x="2151" y="236"/>
                </a:lnTo>
                <a:lnTo>
                  <a:pt x="2151" y="216"/>
                </a:lnTo>
                <a:lnTo>
                  <a:pt x="2150" y="191"/>
                </a:lnTo>
                <a:lnTo>
                  <a:pt x="2146" y="166"/>
                </a:lnTo>
                <a:lnTo>
                  <a:pt x="2141" y="146"/>
                </a:lnTo>
                <a:lnTo>
                  <a:pt x="2140" y="144"/>
                </a:lnTo>
                <a:lnTo>
                  <a:pt x="2132" y="122"/>
                </a:lnTo>
                <a:lnTo>
                  <a:pt x="2121" y="103"/>
                </a:lnTo>
                <a:lnTo>
                  <a:pt x="2108" y="85"/>
                </a:lnTo>
                <a:lnTo>
                  <a:pt x="2093" y="69"/>
                </a:lnTo>
                <a:lnTo>
                  <a:pt x="2077" y="54"/>
                </a:lnTo>
                <a:lnTo>
                  <a:pt x="2058" y="42"/>
                </a:lnTo>
                <a:lnTo>
                  <a:pt x="2037" y="31"/>
                </a:lnTo>
                <a:lnTo>
                  <a:pt x="2018" y="22"/>
                </a:lnTo>
                <a:lnTo>
                  <a:pt x="2018" y="581"/>
                </a:lnTo>
                <a:lnTo>
                  <a:pt x="2017" y="596"/>
                </a:lnTo>
                <a:lnTo>
                  <a:pt x="2014" y="610"/>
                </a:lnTo>
                <a:lnTo>
                  <a:pt x="2010" y="622"/>
                </a:lnTo>
                <a:lnTo>
                  <a:pt x="2004" y="633"/>
                </a:lnTo>
                <a:lnTo>
                  <a:pt x="1997" y="643"/>
                </a:lnTo>
                <a:lnTo>
                  <a:pt x="1988" y="652"/>
                </a:lnTo>
                <a:lnTo>
                  <a:pt x="1978" y="660"/>
                </a:lnTo>
                <a:lnTo>
                  <a:pt x="1967" y="667"/>
                </a:lnTo>
                <a:lnTo>
                  <a:pt x="1954" y="673"/>
                </a:lnTo>
                <a:lnTo>
                  <a:pt x="1940" y="679"/>
                </a:lnTo>
                <a:lnTo>
                  <a:pt x="1925" y="683"/>
                </a:lnTo>
                <a:lnTo>
                  <a:pt x="1909" y="686"/>
                </a:lnTo>
                <a:lnTo>
                  <a:pt x="1892" y="689"/>
                </a:lnTo>
                <a:lnTo>
                  <a:pt x="1874" y="691"/>
                </a:lnTo>
                <a:lnTo>
                  <a:pt x="1856" y="692"/>
                </a:lnTo>
                <a:lnTo>
                  <a:pt x="1837" y="692"/>
                </a:lnTo>
                <a:lnTo>
                  <a:pt x="1413" y="692"/>
                </a:lnTo>
                <a:lnTo>
                  <a:pt x="1413" y="146"/>
                </a:lnTo>
                <a:lnTo>
                  <a:pt x="1824" y="146"/>
                </a:lnTo>
                <a:lnTo>
                  <a:pt x="1844" y="146"/>
                </a:lnTo>
                <a:lnTo>
                  <a:pt x="1863" y="147"/>
                </a:lnTo>
                <a:lnTo>
                  <a:pt x="1881" y="148"/>
                </a:lnTo>
                <a:lnTo>
                  <a:pt x="1897" y="149"/>
                </a:lnTo>
                <a:lnTo>
                  <a:pt x="1913" y="152"/>
                </a:lnTo>
                <a:lnTo>
                  <a:pt x="1928" y="155"/>
                </a:lnTo>
                <a:lnTo>
                  <a:pt x="1941" y="159"/>
                </a:lnTo>
                <a:lnTo>
                  <a:pt x="1954" y="164"/>
                </a:lnTo>
                <a:lnTo>
                  <a:pt x="1965" y="170"/>
                </a:lnTo>
                <a:lnTo>
                  <a:pt x="1975" y="177"/>
                </a:lnTo>
                <a:lnTo>
                  <a:pt x="1983" y="186"/>
                </a:lnTo>
                <a:lnTo>
                  <a:pt x="1990" y="195"/>
                </a:lnTo>
                <a:lnTo>
                  <a:pt x="1996" y="206"/>
                </a:lnTo>
                <a:lnTo>
                  <a:pt x="2000" y="219"/>
                </a:lnTo>
                <a:lnTo>
                  <a:pt x="2002" y="233"/>
                </a:lnTo>
                <a:lnTo>
                  <a:pt x="2003" y="249"/>
                </a:lnTo>
                <a:lnTo>
                  <a:pt x="2001" y="274"/>
                </a:lnTo>
                <a:lnTo>
                  <a:pt x="1995" y="296"/>
                </a:lnTo>
                <a:lnTo>
                  <a:pt x="1986" y="314"/>
                </a:lnTo>
                <a:lnTo>
                  <a:pt x="1973" y="327"/>
                </a:lnTo>
                <a:lnTo>
                  <a:pt x="1956" y="337"/>
                </a:lnTo>
                <a:lnTo>
                  <a:pt x="1935" y="344"/>
                </a:lnTo>
                <a:lnTo>
                  <a:pt x="1910" y="349"/>
                </a:lnTo>
                <a:lnTo>
                  <a:pt x="1881" y="350"/>
                </a:lnTo>
                <a:lnTo>
                  <a:pt x="1519" y="350"/>
                </a:lnTo>
                <a:lnTo>
                  <a:pt x="1519" y="473"/>
                </a:lnTo>
                <a:lnTo>
                  <a:pt x="1891" y="473"/>
                </a:lnTo>
                <a:lnTo>
                  <a:pt x="1920" y="475"/>
                </a:lnTo>
                <a:lnTo>
                  <a:pt x="1946" y="480"/>
                </a:lnTo>
                <a:lnTo>
                  <a:pt x="1967" y="489"/>
                </a:lnTo>
                <a:lnTo>
                  <a:pt x="1985" y="501"/>
                </a:lnTo>
                <a:lnTo>
                  <a:pt x="1999" y="517"/>
                </a:lnTo>
                <a:lnTo>
                  <a:pt x="2010" y="536"/>
                </a:lnTo>
                <a:lnTo>
                  <a:pt x="2016" y="557"/>
                </a:lnTo>
                <a:lnTo>
                  <a:pt x="2018" y="581"/>
                </a:lnTo>
                <a:lnTo>
                  <a:pt x="2018" y="22"/>
                </a:lnTo>
                <a:lnTo>
                  <a:pt x="2015" y="21"/>
                </a:lnTo>
                <a:lnTo>
                  <a:pt x="1991" y="13"/>
                </a:lnTo>
                <a:lnTo>
                  <a:pt x="1965" y="7"/>
                </a:lnTo>
                <a:lnTo>
                  <a:pt x="1938" y="3"/>
                </a:lnTo>
                <a:lnTo>
                  <a:pt x="1909" y="1"/>
                </a:lnTo>
                <a:lnTo>
                  <a:pt x="1880" y="0"/>
                </a:lnTo>
                <a:lnTo>
                  <a:pt x="1427" y="0"/>
                </a:lnTo>
                <a:lnTo>
                  <a:pt x="1264" y="0"/>
                </a:lnTo>
                <a:lnTo>
                  <a:pt x="923" y="644"/>
                </a:lnTo>
                <a:lnTo>
                  <a:pt x="879" y="557"/>
                </a:lnTo>
                <a:lnTo>
                  <a:pt x="599" y="0"/>
                </a:lnTo>
                <a:lnTo>
                  <a:pt x="423" y="0"/>
                </a:lnTo>
                <a:lnTo>
                  <a:pt x="640" y="415"/>
                </a:lnTo>
                <a:lnTo>
                  <a:pt x="514" y="644"/>
                </a:lnTo>
                <a:lnTo>
                  <a:pt x="175" y="0"/>
                </a:lnTo>
                <a:lnTo>
                  <a:pt x="0" y="0"/>
                </a:lnTo>
                <a:lnTo>
                  <a:pt x="433" y="803"/>
                </a:lnTo>
                <a:lnTo>
                  <a:pt x="447" y="823"/>
                </a:lnTo>
                <a:lnTo>
                  <a:pt x="465" y="837"/>
                </a:lnTo>
                <a:lnTo>
                  <a:pt x="485" y="846"/>
                </a:lnTo>
                <a:lnTo>
                  <a:pt x="509" y="849"/>
                </a:lnTo>
                <a:lnTo>
                  <a:pt x="520" y="848"/>
                </a:lnTo>
                <a:lnTo>
                  <a:pt x="531" y="846"/>
                </a:lnTo>
                <a:lnTo>
                  <a:pt x="542" y="842"/>
                </a:lnTo>
                <a:lnTo>
                  <a:pt x="552" y="837"/>
                </a:lnTo>
                <a:lnTo>
                  <a:pt x="561" y="831"/>
                </a:lnTo>
                <a:lnTo>
                  <a:pt x="569" y="823"/>
                </a:lnTo>
                <a:lnTo>
                  <a:pt x="577" y="813"/>
                </a:lnTo>
                <a:lnTo>
                  <a:pt x="584" y="803"/>
                </a:lnTo>
                <a:lnTo>
                  <a:pt x="668" y="644"/>
                </a:lnTo>
                <a:lnTo>
                  <a:pt x="714" y="557"/>
                </a:lnTo>
                <a:lnTo>
                  <a:pt x="843" y="803"/>
                </a:lnTo>
                <a:lnTo>
                  <a:pt x="850" y="814"/>
                </a:lnTo>
                <a:lnTo>
                  <a:pt x="858" y="823"/>
                </a:lnTo>
                <a:lnTo>
                  <a:pt x="866" y="831"/>
                </a:lnTo>
                <a:lnTo>
                  <a:pt x="875" y="837"/>
                </a:lnTo>
                <a:lnTo>
                  <a:pt x="885" y="842"/>
                </a:lnTo>
                <a:lnTo>
                  <a:pt x="896" y="846"/>
                </a:lnTo>
                <a:lnTo>
                  <a:pt x="907" y="848"/>
                </a:lnTo>
                <a:lnTo>
                  <a:pt x="918" y="849"/>
                </a:lnTo>
                <a:lnTo>
                  <a:pt x="929" y="848"/>
                </a:lnTo>
                <a:lnTo>
                  <a:pt x="940" y="846"/>
                </a:lnTo>
                <a:lnTo>
                  <a:pt x="951" y="842"/>
                </a:lnTo>
                <a:lnTo>
                  <a:pt x="961" y="837"/>
                </a:lnTo>
                <a:lnTo>
                  <a:pt x="971" y="831"/>
                </a:lnTo>
                <a:lnTo>
                  <a:pt x="979" y="823"/>
                </a:lnTo>
                <a:lnTo>
                  <a:pt x="987" y="813"/>
                </a:lnTo>
                <a:lnTo>
                  <a:pt x="994" y="803"/>
                </a:lnTo>
                <a:lnTo>
                  <a:pt x="1080" y="644"/>
                </a:lnTo>
                <a:lnTo>
                  <a:pt x="1267" y="297"/>
                </a:lnTo>
                <a:lnTo>
                  <a:pt x="1267" y="837"/>
                </a:lnTo>
                <a:lnTo>
                  <a:pt x="1897" y="837"/>
                </a:lnTo>
                <a:lnTo>
                  <a:pt x="1926" y="836"/>
                </a:lnTo>
                <a:lnTo>
                  <a:pt x="1955" y="833"/>
                </a:lnTo>
                <a:lnTo>
                  <a:pt x="1982" y="827"/>
                </a:lnTo>
                <a:lnTo>
                  <a:pt x="2008" y="819"/>
                </a:lnTo>
                <a:lnTo>
                  <a:pt x="2032" y="810"/>
                </a:lnTo>
                <a:lnTo>
                  <a:pt x="2054" y="798"/>
                </a:lnTo>
                <a:lnTo>
                  <a:pt x="2074" y="784"/>
                </a:lnTo>
                <a:lnTo>
                  <a:pt x="2093" y="768"/>
                </a:lnTo>
                <a:lnTo>
                  <a:pt x="2110" y="751"/>
                </a:lnTo>
                <a:lnTo>
                  <a:pt x="2124" y="732"/>
                </a:lnTo>
                <a:lnTo>
                  <a:pt x="2137" y="711"/>
                </a:lnTo>
                <a:lnTo>
                  <a:pt x="2145" y="692"/>
                </a:lnTo>
                <a:lnTo>
                  <a:pt x="2147" y="688"/>
                </a:lnTo>
                <a:lnTo>
                  <a:pt x="2155" y="664"/>
                </a:lnTo>
                <a:lnTo>
                  <a:pt x="2161" y="639"/>
                </a:lnTo>
                <a:lnTo>
                  <a:pt x="2165" y="612"/>
                </a:lnTo>
                <a:lnTo>
                  <a:pt x="2166" y="584"/>
                </a:lnTo>
                <a:moveTo>
                  <a:pt x="2756" y="58"/>
                </a:moveTo>
                <a:lnTo>
                  <a:pt x="2704" y="58"/>
                </a:lnTo>
                <a:lnTo>
                  <a:pt x="2596" y="262"/>
                </a:lnTo>
                <a:lnTo>
                  <a:pt x="2582" y="235"/>
                </a:lnTo>
                <a:lnTo>
                  <a:pt x="2493" y="58"/>
                </a:lnTo>
                <a:lnTo>
                  <a:pt x="2437" y="58"/>
                </a:lnTo>
                <a:lnTo>
                  <a:pt x="2506" y="190"/>
                </a:lnTo>
                <a:lnTo>
                  <a:pt x="2466" y="262"/>
                </a:lnTo>
                <a:lnTo>
                  <a:pt x="2359" y="58"/>
                </a:lnTo>
                <a:lnTo>
                  <a:pt x="2303" y="58"/>
                </a:lnTo>
                <a:lnTo>
                  <a:pt x="2440" y="313"/>
                </a:lnTo>
                <a:lnTo>
                  <a:pt x="2446" y="323"/>
                </a:lnTo>
                <a:lnTo>
                  <a:pt x="2454" y="328"/>
                </a:lnTo>
                <a:lnTo>
                  <a:pt x="2470" y="328"/>
                </a:lnTo>
                <a:lnTo>
                  <a:pt x="2474" y="326"/>
                </a:lnTo>
                <a:lnTo>
                  <a:pt x="2478" y="324"/>
                </a:lnTo>
                <a:lnTo>
                  <a:pt x="2482" y="322"/>
                </a:lnTo>
                <a:lnTo>
                  <a:pt x="2486" y="318"/>
                </a:lnTo>
                <a:lnTo>
                  <a:pt x="2488" y="313"/>
                </a:lnTo>
                <a:lnTo>
                  <a:pt x="2515" y="262"/>
                </a:lnTo>
                <a:lnTo>
                  <a:pt x="2530" y="235"/>
                </a:lnTo>
                <a:lnTo>
                  <a:pt x="2573" y="318"/>
                </a:lnTo>
                <a:lnTo>
                  <a:pt x="2577" y="322"/>
                </a:lnTo>
                <a:lnTo>
                  <a:pt x="2585" y="326"/>
                </a:lnTo>
                <a:lnTo>
                  <a:pt x="2590" y="328"/>
                </a:lnTo>
                <a:lnTo>
                  <a:pt x="2599" y="328"/>
                </a:lnTo>
                <a:lnTo>
                  <a:pt x="2604" y="326"/>
                </a:lnTo>
                <a:lnTo>
                  <a:pt x="2612" y="322"/>
                </a:lnTo>
                <a:lnTo>
                  <a:pt x="2616" y="318"/>
                </a:lnTo>
                <a:lnTo>
                  <a:pt x="2646" y="262"/>
                </a:lnTo>
                <a:lnTo>
                  <a:pt x="2756" y="58"/>
                </a:lnTo>
                <a:moveTo>
                  <a:pt x="3045" y="209"/>
                </a:moveTo>
                <a:lnTo>
                  <a:pt x="2999" y="209"/>
                </a:lnTo>
                <a:lnTo>
                  <a:pt x="2999" y="325"/>
                </a:lnTo>
                <a:lnTo>
                  <a:pt x="3045" y="325"/>
                </a:lnTo>
                <a:lnTo>
                  <a:pt x="3045" y="209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8" name="Line 29">
            <a:extLst>
              <a:ext uri="{FF2B5EF4-FFF2-40B4-BE49-F238E27FC236}">
                <a16:creationId xmlns:a16="http://schemas.microsoft.com/office/drawing/2014/main" id="{A9FF4A82-E61F-4B2B-B30A-583E2D514C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625" y="949"/>
            <a:ext cx="180" cy="0"/>
          </a:xfrm>
          <a:prstGeom prst="line">
            <a:avLst/>
          </a:prstGeom>
          <a:noFill/>
          <a:ln w="254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AE172D9-C24F-4E8B-B220-24C77BB67E3B}"/>
              </a:ext>
            </a:extLst>
          </xdr:cNvPr>
          <xdr:cNvSpPr>
            <a:spLocks noChangeArrowheads="1"/>
          </xdr:cNvSpPr>
        </xdr:nvSpPr>
        <xdr:spPr bwMode="auto">
          <a:xfrm>
            <a:off x="3758" y="819"/>
            <a:ext cx="47" cy="110"/>
          </a:xfrm>
          <a:prstGeom prst="rect">
            <a:avLst/>
          </a:pr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0" name="AutoShape 27">
            <a:extLst>
              <a:ext uri="{FF2B5EF4-FFF2-40B4-BE49-F238E27FC236}">
                <a16:creationId xmlns:a16="http://schemas.microsoft.com/office/drawing/2014/main" id="{DACFCCA1-6767-453D-8297-22B43002D70B}"/>
              </a:ext>
            </a:extLst>
          </xdr:cNvPr>
          <xdr:cNvSpPr>
            <a:spLocks/>
          </xdr:cNvSpPr>
        </xdr:nvSpPr>
        <xdr:spPr bwMode="auto">
          <a:xfrm>
            <a:off x="3567" y="818"/>
            <a:ext cx="490" cy="267"/>
          </a:xfrm>
          <a:custGeom>
            <a:avLst/>
            <a:gdLst>
              <a:gd name="T0" fmla="+- 0 3568 3568"/>
              <a:gd name="T1" fmla="*/ T0 w 490"/>
              <a:gd name="T2" fmla="+- 0 818 818"/>
              <a:gd name="T3" fmla="*/ 818 h 267"/>
              <a:gd name="T4" fmla="+- 0 3568 3568"/>
              <a:gd name="T5" fmla="*/ T4 w 490"/>
              <a:gd name="T6" fmla="+- 0 1085 818"/>
              <a:gd name="T7" fmla="*/ 1085 h 267"/>
              <a:gd name="T8" fmla="+- 0 3877 3568"/>
              <a:gd name="T9" fmla="*/ T8 w 490"/>
              <a:gd name="T10" fmla="+- 0 818 818"/>
              <a:gd name="T11" fmla="*/ 818 h 267"/>
              <a:gd name="T12" fmla="+- 0 3877 3568"/>
              <a:gd name="T13" fmla="*/ T12 w 490"/>
              <a:gd name="T14" fmla="+- 0 1084 818"/>
              <a:gd name="T15" fmla="*/ 1084 h 267"/>
              <a:gd name="T16" fmla="+- 0 4057 3568"/>
              <a:gd name="T17" fmla="*/ T16 w 490"/>
              <a:gd name="T18" fmla="+- 0 864 818"/>
              <a:gd name="T19" fmla="*/ 864 h 267"/>
              <a:gd name="T20" fmla="+- 0 4057 3568"/>
              <a:gd name="T21" fmla="*/ T20 w 490"/>
              <a:gd name="T22" fmla="+- 0 1084 818"/>
              <a:gd name="T23" fmla="*/ 1084 h 26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</a:cxnLst>
            <a:rect l="0" t="0" r="r" b="b"/>
            <a:pathLst>
              <a:path w="490" h="267">
                <a:moveTo>
                  <a:pt x="0" y="0"/>
                </a:moveTo>
                <a:lnTo>
                  <a:pt x="0" y="267"/>
                </a:lnTo>
                <a:moveTo>
                  <a:pt x="309" y="0"/>
                </a:moveTo>
                <a:lnTo>
                  <a:pt x="309" y="266"/>
                </a:lnTo>
                <a:moveTo>
                  <a:pt x="489" y="46"/>
                </a:moveTo>
                <a:lnTo>
                  <a:pt x="489" y="266"/>
                </a:lnTo>
              </a:path>
            </a:pathLst>
          </a:cu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1" name="Line 26">
            <a:extLst>
              <a:ext uri="{FF2B5EF4-FFF2-40B4-BE49-F238E27FC236}">
                <a16:creationId xmlns:a16="http://schemas.microsoft.com/office/drawing/2014/main" id="{1F1F4CC6-E068-42F2-AE14-D438B13A59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933" y="841"/>
            <a:ext cx="248" cy="0"/>
          </a:xfrm>
          <a:prstGeom prst="line">
            <a:avLst/>
          </a:prstGeom>
          <a:noFill/>
          <a:ln w="29464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2" name="Line 25">
            <a:extLst>
              <a:ext uri="{FF2B5EF4-FFF2-40B4-BE49-F238E27FC236}">
                <a16:creationId xmlns:a16="http://schemas.microsoft.com/office/drawing/2014/main" id="{C99B23EE-8922-4F2B-8F0E-D66081C07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1061"/>
            <a:ext cx="238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3" name="Line 24">
            <a:extLst>
              <a:ext uri="{FF2B5EF4-FFF2-40B4-BE49-F238E27FC236}">
                <a16:creationId xmlns:a16="http://schemas.microsoft.com/office/drawing/2014/main" id="{8A1229EE-95D8-4C80-80FA-6635AE403F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35" y="864"/>
            <a:ext cx="0" cy="174"/>
          </a:xfrm>
          <a:prstGeom prst="line">
            <a:avLst/>
          </a:prstGeom>
          <a:noFill/>
          <a:ln w="29337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4" name="Line 23">
            <a:extLst>
              <a:ext uri="{FF2B5EF4-FFF2-40B4-BE49-F238E27FC236}">
                <a16:creationId xmlns:a16="http://schemas.microsoft.com/office/drawing/2014/main" id="{97F25796-62DE-4B49-9FB4-06A757CEFC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12" y="841"/>
            <a:ext cx="237" cy="0"/>
          </a:xfrm>
          <a:prstGeom prst="line">
            <a:avLst/>
          </a:prstGeom>
          <a:noFill/>
          <a:ln w="2921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" name="Line 22">
            <a:extLst>
              <a:ext uri="{FF2B5EF4-FFF2-40B4-BE49-F238E27FC236}">
                <a16:creationId xmlns:a16="http://schemas.microsoft.com/office/drawing/2014/main" id="{D7A60F74-66BA-4902-B80C-2E2560EC5B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92" y="949"/>
            <a:ext cx="148" cy="0"/>
          </a:xfrm>
          <a:prstGeom prst="line">
            <a:avLst/>
          </a:prstGeom>
          <a:noFill/>
          <a:ln w="24892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6" name="AutoShape 21">
            <a:extLst>
              <a:ext uri="{FF2B5EF4-FFF2-40B4-BE49-F238E27FC236}">
                <a16:creationId xmlns:a16="http://schemas.microsoft.com/office/drawing/2014/main" id="{B59AB1A2-AEE7-4749-A678-76E1E6F2F3F6}"/>
              </a:ext>
            </a:extLst>
          </xdr:cNvPr>
          <xdr:cNvSpPr>
            <a:spLocks/>
          </xdr:cNvSpPr>
        </xdr:nvSpPr>
        <xdr:spPr bwMode="auto">
          <a:xfrm>
            <a:off x="4489" y="814"/>
            <a:ext cx="902" cy="270"/>
          </a:xfrm>
          <a:custGeom>
            <a:avLst/>
            <a:gdLst>
              <a:gd name="T0" fmla="+- 0 4774 4489"/>
              <a:gd name="T1" fmla="*/ T0 w 902"/>
              <a:gd name="T2" fmla="+- 0 992 814"/>
              <a:gd name="T3" fmla="*/ 992 h 270"/>
              <a:gd name="T4" fmla="+- 0 4768 4489"/>
              <a:gd name="T5" fmla="*/ T4 w 902"/>
              <a:gd name="T6" fmla="+- 0 973 814"/>
              <a:gd name="T7" fmla="*/ 973 h 270"/>
              <a:gd name="T8" fmla="+- 0 4755 4489"/>
              <a:gd name="T9" fmla="*/ T8 w 902"/>
              <a:gd name="T10" fmla="+- 0 955 814"/>
              <a:gd name="T11" fmla="*/ 955 h 270"/>
              <a:gd name="T12" fmla="+- 0 4733 4489"/>
              <a:gd name="T13" fmla="*/ T12 w 902"/>
              <a:gd name="T14" fmla="+- 0 944 814"/>
              <a:gd name="T15" fmla="*/ 944 h 270"/>
              <a:gd name="T16" fmla="+- 0 4743 4489"/>
              <a:gd name="T17" fmla="*/ T16 w 902"/>
              <a:gd name="T18" fmla="+- 0 940 814"/>
              <a:gd name="T19" fmla="*/ 940 h 270"/>
              <a:gd name="T20" fmla="+- 0 4752 4489"/>
              <a:gd name="T21" fmla="*/ T20 w 902"/>
              <a:gd name="T22" fmla="+- 0 934 814"/>
              <a:gd name="T23" fmla="*/ 934 h 270"/>
              <a:gd name="T24" fmla="+- 0 4759 4489"/>
              <a:gd name="T25" fmla="*/ T24 w 902"/>
              <a:gd name="T26" fmla="+- 0 925 814"/>
              <a:gd name="T27" fmla="*/ 925 h 270"/>
              <a:gd name="T28" fmla="+- 0 4765 4489"/>
              <a:gd name="T29" fmla="*/ T28 w 902"/>
              <a:gd name="T30" fmla="+- 0 916 814"/>
              <a:gd name="T31" fmla="*/ 916 h 270"/>
              <a:gd name="T32" fmla="+- 0 4770 4489"/>
              <a:gd name="T33" fmla="*/ T32 w 902"/>
              <a:gd name="T34" fmla="+- 0 895 814"/>
              <a:gd name="T35" fmla="*/ 895 h 270"/>
              <a:gd name="T36" fmla="+- 0 4768 4489"/>
              <a:gd name="T37" fmla="*/ T36 w 902"/>
              <a:gd name="T38" fmla="+- 0 866 814"/>
              <a:gd name="T39" fmla="*/ 866 h 270"/>
              <a:gd name="T40" fmla="+- 0 4764 4489"/>
              <a:gd name="T41" fmla="*/ T40 w 902"/>
              <a:gd name="T42" fmla="+- 0 857 814"/>
              <a:gd name="T43" fmla="*/ 857 h 270"/>
              <a:gd name="T44" fmla="+- 0 4754 4489"/>
              <a:gd name="T45" fmla="*/ T44 w 902"/>
              <a:gd name="T46" fmla="+- 0 841 814"/>
              <a:gd name="T47" fmla="*/ 841 h 270"/>
              <a:gd name="T48" fmla="+- 0 4730 4489"/>
              <a:gd name="T49" fmla="*/ T48 w 902"/>
              <a:gd name="T50" fmla="+- 0 825 814"/>
              <a:gd name="T51" fmla="*/ 825 h 270"/>
              <a:gd name="T52" fmla="+- 0 4727 4489"/>
              <a:gd name="T53" fmla="*/ T52 w 902"/>
              <a:gd name="T54" fmla="+- 0 992 814"/>
              <a:gd name="T55" fmla="*/ 992 h 270"/>
              <a:gd name="T56" fmla="+- 0 4726 4489"/>
              <a:gd name="T57" fmla="*/ T56 w 902"/>
              <a:gd name="T58" fmla="+- 0 1015 814"/>
              <a:gd name="T59" fmla="*/ 1015 h 270"/>
              <a:gd name="T60" fmla="+- 0 4721 4489"/>
              <a:gd name="T61" fmla="*/ T60 w 902"/>
              <a:gd name="T62" fmla="+- 0 1024 814"/>
              <a:gd name="T63" fmla="*/ 1024 h 270"/>
              <a:gd name="T64" fmla="+- 0 4711 4489"/>
              <a:gd name="T65" fmla="*/ T64 w 902"/>
              <a:gd name="T66" fmla="+- 0 1030 814"/>
              <a:gd name="T67" fmla="*/ 1030 h 270"/>
              <a:gd name="T68" fmla="+- 0 4700 4489"/>
              <a:gd name="T69" fmla="*/ T68 w 902"/>
              <a:gd name="T70" fmla="+- 0 1035 814"/>
              <a:gd name="T71" fmla="*/ 1035 h 270"/>
              <a:gd name="T72" fmla="+- 0 4678 4489"/>
              <a:gd name="T73" fmla="*/ T72 w 902"/>
              <a:gd name="T74" fmla="+- 0 1038 814"/>
              <a:gd name="T75" fmla="*/ 1038 h 270"/>
              <a:gd name="T76" fmla="+- 0 4536 4489"/>
              <a:gd name="T77" fmla="*/ T76 w 902"/>
              <a:gd name="T78" fmla="+- 0 865 814"/>
              <a:gd name="T79" fmla="*/ 865 h 270"/>
              <a:gd name="T80" fmla="+- 0 4682 4489"/>
              <a:gd name="T81" fmla="*/ T80 w 902"/>
              <a:gd name="T82" fmla="+- 0 865 814"/>
              <a:gd name="T83" fmla="*/ 865 h 270"/>
              <a:gd name="T84" fmla="+- 0 4702 4489"/>
              <a:gd name="T85" fmla="*/ T84 w 902"/>
              <a:gd name="T86" fmla="+- 0 868 814"/>
              <a:gd name="T87" fmla="*/ 868 h 270"/>
              <a:gd name="T88" fmla="+- 0 4712 4489"/>
              <a:gd name="T89" fmla="*/ T88 w 902"/>
              <a:gd name="T90" fmla="+- 0 873 814"/>
              <a:gd name="T91" fmla="*/ 873 h 270"/>
              <a:gd name="T92" fmla="+- 0 4722 4489"/>
              <a:gd name="T93" fmla="*/ T92 w 902"/>
              <a:gd name="T94" fmla="+- 0 884 814"/>
              <a:gd name="T95" fmla="*/ 884 h 270"/>
              <a:gd name="T96" fmla="+- 0 4723 4489"/>
              <a:gd name="T97" fmla="*/ T96 w 902"/>
              <a:gd name="T98" fmla="+- 0 909 814"/>
              <a:gd name="T99" fmla="*/ 909 h 270"/>
              <a:gd name="T100" fmla="+- 0 4713 4489"/>
              <a:gd name="T101" fmla="*/ T100 w 902"/>
              <a:gd name="T102" fmla="+- 0 922 814"/>
              <a:gd name="T103" fmla="*/ 922 h 270"/>
              <a:gd name="T104" fmla="+- 0 4697 4489"/>
              <a:gd name="T105" fmla="*/ T104 w 902"/>
              <a:gd name="T106" fmla="+- 0 929 814"/>
              <a:gd name="T107" fmla="*/ 929 h 270"/>
              <a:gd name="T108" fmla="+- 0 4569 4489"/>
              <a:gd name="T109" fmla="*/ T108 w 902"/>
              <a:gd name="T110" fmla="+- 0 969 814"/>
              <a:gd name="T111" fmla="*/ 969 h 270"/>
              <a:gd name="T112" fmla="+- 0 4710 4489"/>
              <a:gd name="T113" fmla="*/ T112 w 902"/>
              <a:gd name="T114" fmla="+- 0 972 814"/>
              <a:gd name="T115" fmla="*/ 972 h 270"/>
              <a:gd name="T116" fmla="+- 0 4727 4489"/>
              <a:gd name="T117" fmla="*/ T116 w 902"/>
              <a:gd name="T118" fmla="+- 0 992 814"/>
              <a:gd name="T119" fmla="*/ 992 h 270"/>
              <a:gd name="T120" fmla="+- 0 4708 4489"/>
              <a:gd name="T121" fmla="*/ T120 w 902"/>
              <a:gd name="T122" fmla="+- 0 819 814"/>
              <a:gd name="T123" fmla="*/ 819 h 270"/>
              <a:gd name="T124" fmla="+- 0 4489 4489"/>
              <a:gd name="T125" fmla="*/ T124 w 902"/>
              <a:gd name="T126" fmla="+- 0 818 814"/>
              <a:gd name="T127" fmla="*/ 818 h 270"/>
              <a:gd name="T128" fmla="+- 0 4702 4489"/>
              <a:gd name="T129" fmla="*/ T128 w 902"/>
              <a:gd name="T130" fmla="+- 0 1084 814"/>
              <a:gd name="T131" fmla="*/ 1084 h 270"/>
              <a:gd name="T132" fmla="+- 0 4735 4489"/>
              <a:gd name="T133" fmla="*/ T132 w 902"/>
              <a:gd name="T134" fmla="+- 0 1075 814"/>
              <a:gd name="T135" fmla="*/ 1075 h 270"/>
              <a:gd name="T136" fmla="+- 0 4759 4489"/>
              <a:gd name="T137" fmla="*/ T136 w 902"/>
              <a:gd name="T138" fmla="+- 0 1055 814"/>
              <a:gd name="T139" fmla="*/ 1055 h 270"/>
              <a:gd name="T140" fmla="+- 0 4768 4489"/>
              <a:gd name="T141" fmla="*/ T140 w 902"/>
              <a:gd name="T142" fmla="+- 0 1038 814"/>
              <a:gd name="T143" fmla="*/ 1038 h 270"/>
              <a:gd name="T144" fmla="+- 0 4775 4489"/>
              <a:gd name="T145" fmla="*/ T144 w 902"/>
              <a:gd name="T146" fmla="+- 0 1016 814"/>
              <a:gd name="T147" fmla="*/ 1016 h 270"/>
              <a:gd name="T148" fmla="+- 0 5128 4489"/>
              <a:gd name="T149" fmla="*/ T148 w 902"/>
              <a:gd name="T150" fmla="+- 0 1084 814"/>
              <a:gd name="T151" fmla="*/ 1084 h 270"/>
              <a:gd name="T152" fmla="+- 0 4975 4489"/>
              <a:gd name="T153" fmla="*/ T152 w 902"/>
              <a:gd name="T154" fmla="+- 0 829 814"/>
              <a:gd name="T155" fmla="*/ 829 h 270"/>
              <a:gd name="T156" fmla="+- 0 4969 4489"/>
              <a:gd name="T157" fmla="*/ T156 w 902"/>
              <a:gd name="T158" fmla="+- 0 821 814"/>
              <a:gd name="T159" fmla="*/ 821 h 270"/>
              <a:gd name="T160" fmla="+- 0 4958 4489"/>
              <a:gd name="T161" fmla="*/ T160 w 902"/>
              <a:gd name="T162" fmla="+- 0 814 814"/>
              <a:gd name="T163" fmla="*/ 814 h 270"/>
              <a:gd name="T164" fmla="+- 0 4943 4489"/>
              <a:gd name="T165" fmla="*/ T164 w 902"/>
              <a:gd name="T166" fmla="+- 0 816 814"/>
              <a:gd name="T167" fmla="*/ 816 h 270"/>
              <a:gd name="T168" fmla="+- 0 4936 4489"/>
              <a:gd name="T169" fmla="*/ T168 w 902"/>
              <a:gd name="T170" fmla="+- 0 821 814"/>
              <a:gd name="T171" fmla="*/ 821 h 270"/>
              <a:gd name="T172" fmla="+- 0 4930 4489"/>
              <a:gd name="T173" fmla="*/ T172 w 902"/>
              <a:gd name="T174" fmla="+- 0 829 814"/>
              <a:gd name="T175" fmla="*/ 829 h 270"/>
              <a:gd name="T176" fmla="+- 0 4830 4489"/>
              <a:gd name="T177" fmla="*/ T176 w 902"/>
              <a:gd name="T178" fmla="+- 0 1084 814"/>
              <a:gd name="T179" fmla="*/ 1084 h 270"/>
              <a:gd name="T180" fmla="+- 0 5010 4489"/>
              <a:gd name="T181" fmla="*/ T180 w 902"/>
              <a:gd name="T182" fmla="+- 0 979 814"/>
              <a:gd name="T183" fmla="*/ 979 h 270"/>
              <a:gd name="T184" fmla="+- 0 4906 4489"/>
              <a:gd name="T185" fmla="*/ T184 w 902"/>
              <a:gd name="T186" fmla="+- 0 1017 814"/>
              <a:gd name="T187" fmla="*/ 1017 h 270"/>
              <a:gd name="T188" fmla="+- 0 5072 4489"/>
              <a:gd name="T189" fmla="*/ T188 w 902"/>
              <a:gd name="T190" fmla="+- 0 1084 814"/>
              <a:gd name="T191" fmla="*/ 1084 h 270"/>
              <a:gd name="T192" fmla="+- 0 5391 4489"/>
              <a:gd name="T193" fmla="*/ T192 w 902"/>
              <a:gd name="T194" fmla="+- 0 818 814"/>
              <a:gd name="T195" fmla="*/ 818 h 270"/>
              <a:gd name="T196" fmla="+- 0 5228 4489"/>
              <a:gd name="T197" fmla="*/ T196 w 902"/>
              <a:gd name="T198" fmla="+- 0 940 814"/>
              <a:gd name="T199" fmla="*/ 940 h 270"/>
              <a:gd name="T200" fmla="+- 0 5062 4489"/>
              <a:gd name="T201" fmla="*/ T200 w 902"/>
              <a:gd name="T202" fmla="+- 0 818 814"/>
              <a:gd name="T203" fmla="*/ 818 h 270"/>
              <a:gd name="T204" fmla="+- 0 5203 4489"/>
              <a:gd name="T205" fmla="*/ T204 w 902"/>
              <a:gd name="T206" fmla="+- 0 1084 814"/>
              <a:gd name="T207" fmla="*/ 1084 h 270"/>
              <a:gd name="T208" fmla="+- 0 5249 4489"/>
              <a:gd name="T209" fmla="*/ T208 w 902"/>
              <a:gd name="T210" fmla="+- 0 983 814"/>
              <a:gd name="T211" fmla="*/ 983 h 270"/>
              <a:gd name="T212" fmla="+- 0 5391 4489"/>
              <a:gd name="T213" fmla="*/ T212 w 902"/>
              <a:gd name="T214" fmla="+- 0 818 814"/>
              <a:gd name="T215" fmla="*/ 818 h 27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  <a:cxn ang="0">
                <a:pos x="T197" y="T199"/>
              </a:cxn>
              <a:cxn ang="0">
                <a:pos x="T201" y="T203"/>
              </a:cxn>
              <a:cxn ang="0">
                <a:pos x="T205" y="T207"/>
              </a:cxn>
              <a:cxn ang="0">
                <a:pos x="T209" y="T211"/>
              </a:cxn>
              <a:cxn ang="0">
                <a:pos x="T213" y="T215"/>
              </a:cxn>
            </a:cxnLst>
            <a:rect l="0" t="0" r="r" b="b"/>
            <a:pathLst>
              <a:path w="902" h="270">
                <a:moveTo>
                  <a:pt x="286" y="190"/>
                </a:moveTo>
                <a:lnTo>
                  <a:pt x="285" y="178"/>
                </a:lnTo>
                <a:lnTo>
                  <a:pt x="283" y="168"/>
                </a:lnTo>
                <a:lnTo>
                  <a:pt x="279" y="159"/>
                </a:lnTo>
                <a:lnTo>
                  <a:pt x="274" y="151"/>
                </a:lnTo>
                <a:lnTo>
                  <a:pt x="266" y="141"/>
                </a:lnTo>
                <a:lnTo>
                  <a:pt x="256" y="134"/>
                </a:lnTo>
                <a:lnTo>
                  <a:pt x="244" y="130"/>
                </a:lnTo>
                <a:lnTo>
                  <a:pt x="249" y="128"/>
                </a:lnTo>
                <a:lnTo>
                  <a:pt x="254" y="126"/>
                </a:lnTo>
                <a:lnTo>
                  <a:pt x="258" y="123"/>
                </a:lnTo>
                <a:lnTo>
                  <a:pt x="263" y="120"/>
                </a:lnTo>
                <a:lnTo>
                  <a:pt x="267" y="116"/>
                </a:lnTo>
                <a:lnTo>
                  <a:pt x="270" y="111"/>
                </a:lnTo>
                <a:lnTo>
                  <a:pt x="273" y="107"/>
                </a:lnTo>
                <a:lnTo>
                  <a:pt x="276" y="102"/>
                </a:lnTo>
                <a:lnTo>
                  <a:pt x="280" y="89"/>
                </a:lnTo>
                <a:lnTo>
                  <a:pt x="281" y="81"/>
                </a:lnTo>
                <a:lnTo>
                  <a:pt x="281" y="62"/>
                </a:lnTo>
                <a:lnTo>
                  <a:pt x="279" y="52"/>
                </a:lnTo>
                <a:lnTo>
                  <a:pt x="278" y="51"/>
                </a:lnTo>
                <a:lnTo>
                  <a:pt x="275" y="43"/>
                </a:lnTo>
                <a:lnTo>
                  <a:pt x="271" y="34"/>
                </a:lnTo>
                <a:lnTo>
                  <a:pt x="265" y="27"/>
                </a:lnTo>
                <a:lnTo>
                  <a:pt x="250" y="16"/>
                </a:lnTo>
                <a:lnTo>
                  <a:pt x="241" y="11"/>
                </a:lnTo>
                <a:lnTo>
                  <a:pt x="238" y="11"/>
                </a:lnTo>
                <a:lnTo>
                  <a:pt x="238" y="178"/>
                </a:lnTo>
                <a:lnTo>
                  <a:pt x="238" y="196"/>
                </a:lnTo>
                <a:lnTo>
                  <a:pt x="237" y="201"/>
                </a:lnTo>
                <a:lnTo>
                  <a:pt x="234" y="205"/>
                </a:lnTo>
                <a:lnTo>
                  <a:pt x="232" y="210"/>
                </a:lnTo>
                <a:lnTo>
                  <a:pt x="228" y="213"/>
                </a:lnTo>
                <a:lnTo>
                  <a:pt x="222" y="216"/>
                </a:lnTo>
                <a:lnTo>
                  <a:pt x="217" y="219"/>
                </a:lnTo>
                <a:lnTo>
                  <a:pt x="211" y="221"/>
                </a:lnTo>
                <a:lnTo>
                  <a:pt x="197" y="223"/>
                </a:lnTo>
                <a:lnTo>
                  <a:pt x="189" y="224"/>
                </a:lnTo>
                <a:lnTo>
                  <a:pt x="47" y="224"/>
                </a:lnTo>
                <a:lnTo>
                  <a:pt x="47" y="51"/>
                </a:lnTo>
                <a:lnTo>
                  <a:pt x="186" y="51"/>
                </a:lnTo>
                <a:lnTo>
                  <a:pt x="193" y="51"/>
                </a:lnTo>
                <a:lnTo>
                  <a:pt x="207" y="53"/>
                </a:lnTo>
                <a:lnTo>
                  <a:pt x="213" y="54"/>
                </a:lnTo>
                <a:lnTo>
                  <a:pt x="218" y="56"/>
                </a:lnTo>
                <a:lnTo>
                  <a:pt x="223" y="59"/>
                </a:lnTo>
                <a:lnTo>
                  <a:pt x="227" y="62"/>
                </a:lnTo>
                <a:lnTo>
                  <a:pt x="233" y="70"/>
                </a:lnTo>
                <a:lnTo>
                  <a:pt x="234" y="76"/>
                </a:lnTo>
                <a:lnTo>
                  <a:pt x="234" y="95"/>
                </a:lnTo>
                <a:lnTo>
                  <a:pt x="231" y="103"/>
                </a:lnTo>
                <a:lnTo>
                  <a:pt x="224" y="108"/>
                </a:lnTo>
                <a:lnTo>
                  <a:pt x="218" y="113"/>
                </a:lnTo>
                <a:lnTo>
                  <a:pt x="208" y="115"/>
                </a:lnTo>
                <a:lnTo>
                  <a:pt x="80" y="115"/>
                </a:lnTo>
                <a:lnTo>
                  <a:pt x="80" y="155"/>
                </a:lnTo>
                <a:lnTo>
                  <a:pt x="211" y="155"/>
                </a:lnTo>
                <a:lnTo>
                  <a:pt x="221" y="158"/>
                </a:lnTo>
                <a:lnTo>
                  <a:pt x="235" y="170"/>
                </a:lnTo>
                <a:lnTo>
                  <a:pt x="238" y="178"/>
                </a:lnTo>
                <a:lnTo>
                  <a:pt x="238" y="11"/>
                </a:lnTo>
                <a:lnTo>
                  <a:pt x="219" y="5"/>
                </a:lnTo>
                <a:lnTo>
                  <a:pt x="208" y="4"/>
                </a:lnTo>
                <a:lnTo>
                  <a:pt x="0" y="4"/>
                </a:lnTo>
                <a:lnTo>
                  <a:pt x="0" y="270"/>
                </a:lnTo>
                <a:lnTo>
                  <a:pt x="213" y="270"/>
                </a:lnTo>
                <a:lnTo>
                  <a:pt x="225" y="268"/>
                </a:lnTo>
                <a:lnTo>
                  <a:pt x="246" y="261"/>
                </a:lnTo>
                <a:lnTo>
                  <a:pt x="255" y="255"/>
                </a:lnTo>
                <a:lnTo>
                  <a:pt x="270" y="241"/>
                </a:lnTo>
                <a:lnTo>
                  <a:pt x="276" y="233"/>
                </a:lnTo>
                <a:lnTo>
                  <a:pt x="279" y="224"/>
                </a:lnTo>
                <a:lnTo>
                  <a:pt x="284" y="213"/>
                </a:lnTo>
                <a:lnTo>
                  <a:pt x="286" y="202"/>
                </a:lnTo>
                <a:lnTo>
                  <a:pt x="286" y="190"/>
                </a:lnTo>
                <a:moveTo>
                  <a:pt x="639" y="270"/>
                </a:moveTo>
                <a:lnTo>
                  <a:pt x="516" y="66"/>
                </a:lnTo>
                <a:lnTo>
                  <a:pt x="486" y="15"/>
                </a:lnTo>
                <a:lnTo>
                  <a:pt x="483" y="11"/>
                </a:lnTo>
                <a:lnTo>
                  <a:pt x="480" y="7"/>
                </a:lnTo>
                <a:lnTo>
                  <a:pt x="473" y="2"/>
                </a:lnTo>
                <a:lnTo>
                  <a:pt x="469" y="0"/>
                </a:lnTo>
                <a:lnTo>
                  <a:pt x="458" y="0"/>
                </a:lnTo>
                <a:lnTo>
                  <a:pt x="454" y="2"/>
                </a:lnTo>
                <a:lnTo>
                  <a:pt x="450" y="4"/>
                </a:lnTo>
                <a:lnTo>
                  <a:pt x="447" y="7"/>
                </a:lnTo>
                <a:lnTo>
                  <a:pt x="443" y="11"/>
                </a:lnTo>
                <a:lnTo>
                  <a:pt x="441" y="15"/>
                </a:lnTo>
                <a:lnTo>
                  <a:pt x="288" y="270"/>
                </a:lnTo>
                <a:lnTo>
                  <a:pt x="341" y="270"/>
                </a:lnTo>
                <a:lnTo>
                  <a:pt x="462" y="66"/>
                </a:lnTo>
                <a:lnTo>
                  <a:pt x="521" y="165"/>
                </a:lnTo>
                <a:lnTo>
                  <a:pt x="439" y="165"/>
                </a:lnTo>
                <a:lnTo>
                  <a:pt x="417" y="203"/>
                </a:lnTo>
                <a:lnTo>
                  <a:pt x="543" y="203"/>
                </a:lnTo>
                <a:lnTo>
                  <a:pt x="583" y="270"/>
                </a:lnTo>
                <a:lnTo>
                  <a:pt x="639" y="270"/>
                </a:lnTo>
                <a:moveTo>
                  <a:pt x="902" y="4"/>
                </a:moveTo>
                <a:lnTo>
                  <a:pt x="843" y="4"/>
                </a:lnTo>
                <a:lnTo>
                  <a:pt x="739" y="126"/>
                </a:lnTo>
                <a:lnTo>
                  <a:pt x="635" y="4"/>
                </a:lnTo>
                <a:lnTo>
                  <a:pt x="573" y="4"/>
                </a:lnTo>
                <a:lnTo>
                  <a:pt x="714" y="169"/>
                </a:lnTo>
                <a:lnTo>
                  <a:pt x="714" y="270"/>
                </a:lnTo>
                <a:lnTo>
                  <a:pt x="760" y="270"/>
                </a:lnTo>
                <a:lnTo>
                  <a:pt x="760" y="169"/>
                </a:lnTo>
                <a:lnTo>
                  <a:pt x="797" y="126"/>
                </a:lnTo>
                <a:lnTo>
                  <a:pt x="902" y="4"/>
                </a:lnTo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17" name="Line 20">
            <a:extLst>
              <a:ext uri="{FF2B5EF4-FFF2-40B4-BE49-F238E27FC236}">
                <a16:creationId xmlns:a16="http://schemas.microsoft.com/office/drawing/2014/main" id="{07FD2A31-1075-4A73-961F-88EF82663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84" y="1517"/>
            <a:ext cx="308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8" name="AutoShape 19">
            <a:extLst>
              <a:ext uri="{FF2B5EF4-FFF2-40B4-BE49-F238E27FC236}">
                <a16:creationId xmlns:a16="http://schemas.microsoft.com/office/drawing/2014/main" id="{C8D0172E-84DD-4721-898A-09675F50B75D}"/>
              </a:ext>
            </a:extLst>
          </xdr:cNvPr>
          <xdr:cNvSpPr>
            <a:spLocks/>
          </xdr:cNvSpPr>
        </xdr:nvSpPr>
        <xdr:spPr bwMode="auto">
          <a:xfrm>
            <a:off x="3115" y="1185"/>
            <a:ext cx="358" cy="364"/>
          </a:xfrm>
          <a:custGeom>
            <a:avLst/>
            <a:gdLst>
              <a:gd name="T0" fmla="+- 0 3115 3115"/>
              <a:gd name="T1" fmla="*/ T0 w 358"/>
              <a:gd name="T2" fmla="+- 0 1185 1185"/>
              <a:gd name="T3" fmla="*/ 1185 h 364"/>
              <a:gd name="T4" fmla="+- 0 3115 3115"/>
              <a:gd name="T5" fmla="*/ T4 w 358"/>
              <a:gd name="T6" fmla="+- 0 1485 1185"/>
              <a:gd name="T7" fmla="*/ 1485 h 364"/>
              <a:gd name="T8" fmla="+- 0 3473 3115"/>
              <a:gd name="T9" fmla="*/ T8 w 358"/>
              <a:gd name="T10" fmla="+- 0 1185 1185"/>
              <a:gd name="T11" fmla="*/ 1185 h 364"/>
              <a:gd name="T12" fmla="+- 0 3473 3115"/>
              <a:gd name="T13" fmla="*/ T12 w 358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358" h="364">
                <a:moveTo>
                  <a:pt x="0" y="0"/>
                </a:moveTo>
                <a:lnTo>
                  <a:pt x="0" y="300"/>
                </a:lnTo>
                <a:moveTo>
                  <a:pt x="358" y="0"/>
                </a:moveTo>
                <a:lnTo>
                  <a:pt x="358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19" name="AutoShape 18">
            <a:extLst>
              <a:ext uri="{FF2B5EF4-FFF2-40B4-BE49-F238E27FC236}">
                <a16:creationId xmlns:a16="http://schemas.microsoft.com/office/drawing/2014/main" id="{744E4159-F1AC-4DA1-84F5-79C4DF51B05B}"/>
              </a:ext>
            </a:extLst>
          </xdr:cNvPr>
          <xdr:cNvSpPr>
            <a:spLocks/>
          </xdr:cNvSpPr>
        </xdr:nvSpPr>
        <xdr:spPr bwMode="auto">
          <a:xfrm>
            <a:off x="3551" y="1180"/>
            <a:ext cx="536" cy="374"/>
          </a:xfrm>
          <a:custGeom>
            <a:avLst/>
            <a:gdLst>
              <a:gd name="T0" fmla="+- 0 3748 3551"/>
              <a:gd name="T1" fmla="*/ T0 w 536"/>
              <a:gd name="T2" fmla="+- 0 1293 1181"/>
              <a:gd name="T3" fmla="*/ 1293 h 374"/>
              <a:gd name="T4" fmla="+- 0 3683 3551"/>
              <a:gd name="T5" fmla="*/ T4 w 536"/>
              <a:gd name="T6" fmla="+- 0 1293 1181"/>
              <a:gd name="T7" fmla="*/ 1293 h 374"/>
              <a:gd name="T8" fmla="+- 0 3786 3551"/>
              <a:gd name="T9" fmla="*/ T8 w 536"/>
              <a:gd name="T10" fmla="+- 0 1530 1181"/>
              <a:gd name="T11" fmla="*/ 1530 h 374"/>
              <a:gd name="T12" fmla="+- 0 3792 3551"/>
              <a:gd name="T13" fmla="*/ T12 w 536"/>
              <a:gd name="T14" fmla="+- 0 1541 1181"/>
              <a:gd name="T15" fmla="*/ 1541 h 374"/>
              <a:gd name="T16" fmla="+- 0 3799 3551"/>
              <a:gd name="T17" fmla="*/ T16 w 536"/>
              <a:gd name="T18" fmla="+- 0 1548 1181"/>
              <a:gd name="T19" fmla="*/ 1548 h 374"/>
              <a:gd name="T20" fmla="+- 0 3808 3551"/>
              <a:gd name="T21" fmla="*/ T20 w 536"/>
              <a:gd name="T22" fmla="+- 0 1553 1181"/>
              <a:gd name="T23" fmla="*/ 1553 h 374"/>
              <a:gd name="T24" fmla="+- 0 3819 3551"/>
              <a:gd name="T25" fmla="*/ T24 w 536"/>
              <a:gd name="T26" fmla="+- 0 1554 1181"/>
              <a:gd name="T27" fmla="*/ 1554 h 374"/>
              <a:gd name="T28" fmla="+- 0 3826 3551"/>
              <a:gd name="T29" fmla="*/ T28 w 536"/>
              <a:gd name="T30" fmla="+- 0 1554 1181"/>
              <a:gd name="T31" fmla="*/ 1554 h 374"/>
              <a:gd name="T32" fmla="+- 0 3833 3551"/>
              <a:gd name="T33" fmla="*/ T32 w 536"/>
              <a:gd name="T34" fmla="+- 0 1552 1181"/>
              <a:gd name="T35" fmla="*/ 1552 h 374"/>
              <a:gd name="T36" fmla="+- 0 3843 3551"/>
              <a:gd name="T37" fmla="*/ T36 w 536"/>
              <a:gd name="T38" fmla="+- 0 1544 1181"/>
              <a:gd name="T39" fmla="*/ 1544 h 374"/>
              <a:gd name="T40" fmla="+- 0 3847 3551"/>
              <a:gd name="T41" fmla="*/ T40 w 536"/>
              <a:gd name="T42" fmla="+- 0 1538 1181"/>
              <a:gd name="T43" fmla="*/ 1538 h 374"/>
              <a:gd name="T44" fmla="+- 0 3851 3551"/>
              <a:gd name="T45" fmla="*/ T44 w 536"/>
              <a:gd name="T46" fmla="+- 0 1530 1181"/>
              <a:gd name="T47" fmla="*/ 1530 h 374"/>
              <a:gd name="T48" fmla="+- 0 3882 3551"/>
              <a:gd name="T49" fmla="*/ T48 w 536"/>
              <a:gd name="T50" fmla="+- 0 1460 1181"/>
              <a:gd name="T51" fmla="*/ 1460 h 374"/>
              <a:gd name="T52" fmla="+- 0 3820 3551"/>
              <a:gd name="T53" fmla="*/ T52 w 536"/>
              <a:gd name="T54" fmla="+- 0 1460 1181"/>
              <a:gd name="T55" fmla="*/ 1460 h 374"/>
              <a:gd name="T56" fmla="+- 0 3748 3551"/>
              <a:gd name="T57" fmla="*/ T56 w 536"/>
              <a:gd name="T58" fmla="+- 0 1293 1181"/>
              <a:gd name="T59" fmla="*/ 1293 h 374"/>
              <a:gd name="T60" fmla="+- 0 3683 3551"/>
              <a:gd name="T61" fmla="*/ T60 w 536"/>
              <a:gd name="T62" fmla="+- 0 1181 1181"/>
              <a:gd name="T63" fmla="*/ 1181 h 374"/>
              <a:gd name="T64" fmla="+- 0 3676 3551"/>
              <a:gd name="T65" fmla="*/ T64 w 536"/>
              <a:gd name="T66" fmla="+- 0 1181 1181"/>
              <a:gd name="T67" fmla="*/ 1181 h 374"/>
              <a:gd name="T68" fmla="+- 0 3665 3551"/>
              <a:gd name="T69" fmla="*/ T68 w 536"/>
              <a:gd name="T70" fmla="+- 0 1182 1181"/>
              <a:gd name="T71" fmla="*/ 1182 h 374"/>
              <a:gd name="T72" fmla="+- 0 3656 3551"/>
              <a:gd name="T73" fmla="*/ T72 w 536"/>
              <a:gd name="T74" fmla="+- 0 1187 1181"/>
              <a:gd name="T75" fmla="*/ 1187 h 374"/>
              <a:gd name="T76" fmla="+- 0 3649 3551"/>
              <a:gd name="T77" fmla="*/ T76 w 536"/>
              <a:gd name="T78" fmla="+- 0 1195 1181"/>
              <a:gd name="T79" fmla="*/ 1195 h 374"/>
              <a:gd name="T80" fmla="+- 0 3645 3551"/>
              <a:gd name="T81" fmla="*/ T80 w 536"/>
              <a:gd name="T82" fmla="+- 0 1207 1181"/>
              <a:gd name="T83" fmla="*/ 1207 h 374"/>
              <a:gd name="T84" fmla="+- 0 3551 3551"/>
              <a:gd name="T85" fmla="*/ T84 w 536"/>
              <a:gd name="T86" fmla="+- 0 1549 1181"/>
              <a:gd name="T87" fmla="*/ 1549 h 374"/>
              <a:gd name="T88" fmla="+- 0 3614 3551"/>
              <a:gd name="T89" fmla="*/ T88 w 536"/>
              <a:gd name="T90" fmla="+- 0 1549 1181"/>
              <a:gd name="T91" fmla="*/ 1549 h 374"/>
              <a:gd name="T92" fmla="+- 0 3683 3551"/>
              <a:gd name="T93" fmla="*/ T92 w 536"/>
              <a:gd name="T94" fmla="+- 0 1293 1181"/>
              <a:gd name="T95" fmla="*/ 1293 h 374"/>
              <a:gd name="T96" fmla="+- 0 3748 3551"/>
              <a:gd name="T97" fmla="*/ T96 w 536"/>
              <a:gd name="T98" fmla="+- 0 1293 1181"/>
              <a:gd name="T99" fmla="*/ 1293 h 374"/>
              <a:gd name="T100" fmla="+- 0 3708 3551"/>
              <a:gd name="T101" fmla="*/ T100 w 536"/>
              <a:gd name="T102" fmla="+- 0 1202 1181"/>
              <a:gd name="T103" fmla="*/ 1202 h 374"/>
              <a:gd name="T104" fmla="+- 0 3705 3551"/>
              <a:gd name="T105" fmla="*/ T104 w 536"/>
              <a:gd name="T106" fmla="+- 0 1195 1181"/>
              <a:gd name="T107" fmla="*/ 1195 h 374"/>
              <a:gd name="T108" fmla="+- 0 3701 3551"/>
              <a:gd name="T109" fmla="*/ T108 w 536"/>
              <a:gd name="T110" fmla="+- 0 1190 1181"/>
              <a:gd name="T111" fmla="*/ 1190 h 374"/>
              <a:gd name="T112" fmla="+- 0 3695 3551"/>
              <a:gd name="T113" fmla="*/ T112 w 536"/>
              <a:gd name="T114" fmla="+- 0 1186 1181"/>
              <a:gd name="T115" fmla="*/ 1186 h 374"/>
              <a:gd name="T116" fmla="+- 0 3689 3551"/>
              <a:gd name="T117" fmla="*/ T116 w 536"/>
              <a:gd name="T118" fmla="+- 0 1183 1181"/>
              <a:gd name="T119" fmla="*/ 1183 h 374"/>
              <a:gd name="T120" fmla="+- 0 3683 3551"/>
              <a:gd name="T121" fmla="*/ T120 w 536"/>
              <a:gd name="T122" fmla="+- 0 1181 1181"/>
              <a:gd name="T123" fmla="*/ 1181 h 374"/>
              <a:gd name="T124" fmla="+- 0 4017 3551"/>
              <a:gd name="T125" fmla="*/ T124 w 536"/>
              <a:gd name="T126" fmla="+- 0 1293 1181"/>
              <a:gd name="T127" fmla="*/ 1293 h 374"/>
              <a:gd name="T128" fmla="+- 0 3954 3551"/>
              <a:gd name="T129" fmla="*/ T128 w 536"/>
              <a:gd name="T130" fmla="+- 0 1293 1181"/>
              <a:gd name="T131" fmla="*/ 1293 h 374"/>
              <a:gd name="T132" fmla="+- 0 4024 3551"/>
              <a:gd name="T133" fmla="*/ T132 w 536"/>
              <a:gd name="T134" fmla="+- 0 1549 1181"/>
              <a:gd name="T135" fmla="*/ 1549 h 374"/>
              <a:gd name="T136" fmla="+- 0 4087 3551"/>
              <a:gd name="T137" fmla="*/ T136 w 536"/>
              <a:gd name="T138" fmla="+- 0 1549 1181"/>
              <a:gd name="T139" fmla="*/ 1549 h 374"/>
              <a:gd name="T140" fmla="+- 0 4017 3551"/>
              <a:gd name="T141" fmla="*/ T140 w 536"/>
              <a:gd name="T142" fmla="+- 0 1293 1181"/>
              <a:gd name="T143" fmla="*/ 1293 h 374"/>
              <a:gd name="T144" fmla="+- 0 3963 3551"/>
              <a:gd name="T145" fmla="*/ T144 w 536"/>
              <a:gd name="T146" fmla="+- 0 1181 1181"/>
              <a:gd name="T147" fmla="*/ 1181 h 374"/>
              <a:gd name="T148" fmla="+- 0 3949 3551"/>
              <a:gd name="T149" fmla="*/ T148 w 536"/>
              <a:gd name="T150" fmla="+- 0 1181 1181"/>
              <a:gd name="T151" fmla="*/ 1181 h 374"/>
              <a:gd name="T152" fmla="+- 0 3938 3551"/>
              <a:gd name="T153" fmla="*/ T152 w 536"/>
              <a:gd name="T154" fmla="+- 0 1188 1181"/>
              <a:gd name="T155" fmla="*/ 1188 h 374"/>
              <a:gd name="T156" fmla="+- 0 3932 3551"/>
              <a:gd name="T157" fmla="*/ T156 w 536"/>
              <a:gd name="T158" fmla="+- 0 1202 1181"/>
              <a:gd name="T159" fmla="*/ 1202 h 374"/>
              <a:gd name="T160" fmla="+- 0 3820 3551"/>
              <a:gd name="T161" fmla="*/ T160 w 536"/>
              <a:gd name="T162" fmla="+- 0 1460 1181"/>
              <a:gd name="T163" fmla="*/ 1460 h 374"/>
              <a:gd name="T164" fmla="+- 0 3882 3551"/>
              <a:gd name="T165" fmla="*/ T164 w 536"/>
              <a:gd name="T166" fmla="+- 0 1460 1181"/>
              <a:gd name="T167" fmla="*/ 1460 h 374"/>
              <a:gd name="T168" fmla="+- 0 3954 3551"/>
              <a:gd name="T169" fmla="*/ T168 w 536"/>
              <a:gd name="T170" fmla="+- 0 1293 1181"/>
              <a:gd name="T171" fmla="*/ 1293 h 374"/>
              <a:gd name="T172" fmla="+- 0 4017 3551"/>
              <a:gd name="T173" fmla="*/ T172 w 536"/>
              <a:gd name="T174" fmla="+- 0 1293 1181"/>
              <a:gd name="T175" fmla="*/ 1293 h 374"/>
              <a:gd name="T176" fmla="+- 0 3994 3551"/>
              <a:gd name="T177" fmla="*/ T176 w 536"/>
              <a:gd name="T178" fmla="+- 0 1207 1181"/>
              <a:gd name="T179" fmla="*/ 1207 h 374"/>
              <a:gd name="T180" fmla="+- 0 3989 3551"/>
              <a:gd name="T181" fmla="*/ T180 w 536"/>
              <a:gd name="T182" fmla="+- 0 1195 1181"/>
              <a:gd name="T183" fmla="*/ 1195 h 374"/>
              <a:gd name="T184" fmla="+- 0 3982 3551"/>
              <a:gd name="T185" fmla="*/ T184 w 536"/>
              <a:gd name="T186" fmla="+- 0 1187 1181"/>
              <a:gd name="T187" fmla="*/ 1187 h 374"/>
              <a:gd name="T188" fmla="+- 0 3974 3551"/>
              <a:gd name="T189" fmla="*/ T188 w 536"/>
              <a:gd name="T190" fmla="+- 0 1182 1181"/>
              <a:gd name="T191" fmla="*/ 1182 h 374"/>
              <a:gd name="T192" fmla="+- 0 3963 3551"/>
              <a:gd name="T193" fmla="*/ T192 w 536"/>
              <a:gd name="T194" fmla="+- 0 1181 1181"/>
              <a:gd name="T195" fmla="*/ 1181 h 37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  <a:cxn ang="0">
                <a:pos x="T21" y="T23"/>
              </a:cxn>
              <a:cxn ang="0">
                <a:pos x="T25" y="T27"/>
              </a:cxn>
              <a:cxn ang="0">
                <a:pos x="T29" y="T31"/>
              </a:cxn>
              <a:cxn ang="0">
                <a:pos x="T33" y="T35"/>
              </a:cxn>
              <a:cxn ang="0">
                <a:pos x="T37" y="T39"/>
              </a:cxn>
              <a:cxn ang="0">
                <a:pos x="T41" y="T43"/>
              </a:cxn>
              <a:cxn ang="0">
                <a:pos x="T45" y="T47"/>
              </a:cxn>
              <a:cxn ang="0">
                <a:pos x="T49" y="T51"/>
              </a:cxn>
              <a:cxn ang="0">
                <a:pos x="T53" y="T55"/>
              </a:cxn>
              <a:cxn ang="0">
                <a:pos x="T57" y="T59"/>
              </a:cxn>
              <a:cxn ang="0">
                <a:pos x="T61" y="T63"/>
              </a:cxn>
              <a:cxn ang="0">
                <a:pos x="T65" y="T67"/>
              </a:cxn>
              <a:cxn ang="0">
                <a:pos x="T69" y="T71"/>
              </a:cxn>
              <a:cxn ang="0">
                <a:pos x="T73" y="T75"/>
              </a:cxn>
              <a:cxn ang="0">
                <a:pos x="T77" y="T79"/>
              </a:cxn>
              <a:cxn ang="0">
                <a:pos x="T81" y="T83"/>
              </a:cxn>
              <a:cxn ang="0">
                <a:pos x="T85" y="T87"/>
              </a:cxn>
              <a:cxn ang="0">
                <a:pos x="T89" y="T91"/>
              </a:cxn>
              <a:cxn ang="0">
                <a:pos x="T93" y="T95"/>
              </a:cxn>
              <a:cxn ang="0">
                <a:pos x="T97" y="T99"/>
              </a:cxn>
              <a:cxn ang="0">
                <a:pos x="T101" y="T103"/>
              </a:cxn>
              <a:cxn ang="0">
                <a:pos x="T105" y="T107"/>
              </a:cxn>
              <a:cxn ang="0">
                <a:pos x="T109" y="T111"/>
              </a:cxn>
              <a:cxn ang="0">
                <a:pos x="T113" y="T115"/>
              </a:cxn>
              <a:cxn ang="0">
                <a:pos x="T117" y="T119"/>
              </a:cxn>
              <a:cxn ang="0">
                <a:pos x="T121" y="T123"/>
              </a:cxn>
              <a:cxn ang="0">
                <a:pos x="T125" y="T127"/>
              </a:cxn>
              <a:cxn ang="0">
                <a:pos x="T129" y="T131"/>
              </a:cxn>
              <a:cxn ang="0">
                <a:pos x="T133" y="T135"/>
              </a:cxn>
              <a:cxn ang="0">
                <a:pos x="T137" y="T139"/>
              </a:cxn>
              <a:cxn ang="0">
                <a:pos x="T141" y="T143"/>
              </a:cxn>
              <a:cxn ang="0">
                <a:pos x="T145" y="T147"/>
              </a:cxn>
              <a:cxn ang="0">
                <a:pos x="T149" y="T151"/>
              </a:cxn>
              <a:cxn ang="0">
                <a:pos x="T153" y="T155"/>
              </a:cxn>
              <a:cxn ang="0">
                <a:pos x="T157" y="T159"/>
              </a:cxn>
              <a:cxn ang="0">
                <a:pos x="T161" y="T163"/>
              </a:cxn>
              <a:cxn ang="0">
                <a:pos x="T165" y="T167"/>
              </a:cxn>
              <a:cxn ang="0">
                <a:pos x="T169" y="T171"/>
              </a:cxn>
              <a:cxn ang="0">
                <a:pos x="T173" y="T175"/>
              </a:cxn>
              <a:cxn ang="0">
                <a:pos x="T177" y="T179"/>
              </a:cxn>
              <a:cxn ang="0">
                <a:pos x="T181" y="T183"/>
              </a:cxn>
              <a:cxn ang="0">
                <a:pos x="T185" y="T187"/>
              </a:cxn>
              <a:cxn ang="0">
                <a:pos x="T189" y="T191"/>
              </a:cxn>
              <a:cxn ang="0">
                <a:pos x="T193" y="T195"/>
              </a:cxn>
            </a:cxnLst>
            <a:rect l="0" t="0" r="r" b="b"/>
            <a:pathLst>
              <a:path w="536" h="374">
                <a:moveTo>
                  <a:pt x="197" y="112"/>
                </a:moveTo>
                <a:lnTo>
                  <a:pt x="132" y="112"/>
                </a:lnTo>
                <a:lnTo>
                  <a:pt x="235" y="349"/>
                </a:lnTo>
                <a:lnTo>
                  <a:pt x="241" y="360"/>
                </a:lnTo>
                <a:lnTo>
                  <a:pt x="248" y="367"/>
                </a:lnTo>
                <a:lnTo>
                  <a:pt x="257" y="372"/>
                </a:lnTo>
                <a:lnTo>
                  <a:pt x="268" y="373"/>
                </a:lnTo>
                <a:lnTo>
                  <a:pt x="275" y="373"/>
                </a:lnTo>
                <a:lnTo>
                  <a:pt x="282" y="371"/>
                </a:lnTo>
                <a:lnTo>
                  <a:pt x="292" y="363"/>
                </a:lnTo>
                <a:lnTo>
                  <a:pt x="296" y="357"/>
                </a:lnTo>
                <a:lnTo>
                  <a:pt x="300" y="349"/>
                </a:lnTo>
                <a:lnTo>
                  <a:pt x="331" y="279"/>
                </a:lnTo>
                <a:lnTo>
                  <a:pt x="269" y="279"/>
                </a:lnTo>
                <a:lnTo>
                  <a:pt x="197" y="112"/>
                </a:lnTo>
                <a:close/>
                <a:moveTo>
                  <a:pt x="132" y="0"/>
                </a:moveTo>
                <a:lnTo>
                  <a:pt x="125" y="0"/>
                </a:lnTo>
                <a:lnTo>
                  <a:pt x="114" y="1"/>
                </a:lnTo>
                <a:lnTo>
                  <a:pt x="105" y="6"/>
                </a:lnTo>
                <a:lnTo>
                  <a:pt x="98" y="14"/>
                </a:lnTo>
                <a:lnTo>
                  <a:pt x="94" y="26"/>
                </a:lnTo>
                <a:lnTo>
                  <a:pt x="0" y="368"/>
                </a:lnTo>
                <a:lnTo>
                  <a:pt x="63" y="368"/>
                </a:lnTo>
                <a:lnTo>
                  <a:pt x="132" y="112"/>
                </a:lnTo>
                <a:lnTo>
                  <a:pt x="197" y="112"/>
                </a:lnTo>
                <a:lnTo>
                  <a:pt x="157" y="21"/>
                </a:lnTo>
                <a:lnTo>
                  <a:pt x="154" y="14"/>
                </a:lnTo>
                <a:lnTo>
                  <a:pt x="150" y="9"/>
                </a:lnTo>
                <a:lnTo>
                  <a:pt x="144" y="5"/>
                </a:lnTo>
                <a:lnTo>
                  <a:pt x="138" y="2"/>
                </a:lnTo>
                <a:lnTo>
                  <a:pt x="132" y="0"/>
                </a:lnTo>
                <a:close/>
                <a:moveTo>
                  <a:pt x="466" y="112"/>
                </a:moveTo>
                <a:lnTo>
                  <a:pt x="403" y="112"/>
                </a:lnTo>
                <a:lnTo>
                  <a:pt x="473" y="368"/>
                </a:lnTo>
                <a:lnTo>
                  <a:pt x="536" y="368"/>
                </a:lnTo>
                <a:lnTo>
                  <a:pt x="466" y="112"/>
                </a:lnTo>
                <a:close/>
                <a:moveTo>
                  <a:pt x="412" y="0"/>
                </a:moveTo>
                <a:lnTo>
                  <a:pt x="398" y="0"/>
                </a:lnTo>
                <a:lnTo>
                  <a:pt x="387" y="7"/>
                </a:lnTo>
                <a:lnTo>
                  <a:pt x="381" y="21"/>
                </a:lnTo>
                <a:lnTo>
                  <a:pt x="269" y="279"/>
                </a:lnTo>
                <a:lnTo>
                  <a:pt x="331" y="279"/>
                </a:lnTo>
                <a:lnTo>
                  <a:pt x="403" y="112"/>
                </a:lnTo>
                <a:lnTo>
                  <a:pt x="466" y="112"/>
                </a:lnTo>
                <a:lnTo>
                  <a:pt x="443" y="26"/>
                </a:lnTo>
                <a:lnTo>
                  <a:pt x="438" y="14"/>
                </a:lnTo>
                <a:lnTo>
                  <a:pt x="431" y="6"/>
                </a:lnTo>
                <a:lnTo>
                  <a:pt x="423" y="1"/>
                </a:lnTo>
                <a:lnTo>
                  <a:pt x="412" y="0"/>
                </a:lnTo>
                <a:close/>
              </a:path>
            </a:pathLst>
          </a:custGeom>
          <a:solidFill>
            <a:srgbClr val="F3F3F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sp macro="" textlink="">
        <xdr:nvSpPr>
          <xdr:cNvPr id="20" name="AutoShape 17">
            <a:extLst>
              <a:ext uri="{FF2B5EF4-FFF2-40B4-BE49-F238E27FC236}">
                <a16:creationId xmlns:a16="http://schemas.microsoft.com/office/drawing/2014/main" id="{44F1A81C-C37C-4338-A337-85BA05EFC29D}"/>
              </a:ext>
            </a:extLst>
          </xdr:cNvPr>
          <xdr:cNvSpPr>
            <a:spLocks/>
          </xdr:cNvSpPr>
        </xdr:nvSpPr>
        <xdr:spPr bwMode="auto">
          <a:xfrm>
            <a:off x="4164" y="1185"/>
            <a:ext cx="247" cy="364"/>
          </a:xfrm>
          <a:custGeom>
            <a:avLst/>
            <a:gdLst>
              <a:gd name="T0" fmla="+- 0 4164 4164"/>
              <a:gd name="T1" fmla="*/ T0 w 247"/>
              <a:gd name="T2" fmla="+- 0 1185 1185"/>
              <a:gd name="T3" fmla="*/ 1185 h 364"/>
              <a:gd name="T4" fmla="+- 0 4164 4164"/>
              <a:gd name="T5" fmla="*/ T4 w 247"/>
              <a:gd name="T6" fmla="+- 0 1549 1185"/>
              <a:gd name="T7" fmla="*/ 1549 h 364"/>
              <a:gd name="T8" fmla="+- 0 4411 4164"/>
              <a:gd name="T9" fmla="*/ T8 w 247"/>
              <a:gd name="T10" fmla="+- 0 1249 1185"/>
              <a:gd name="T11" fmla="*/ 1249 h 364"/>
              <a:gd name="T12" fmla="+- 0 4411 4164"/>
              <a:gd name="T13" fmla="*/ T12 w 247"/>
              <a:gd name="T14" fmla="+- 0 1549 1185"/>
              <a:gd name="T15" fmla="*/ 1549 h 364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247" h="364">
                <a:moveTo>
                  <a:pt x="0" y="0"/>
                </a:moveTo>
                <a:lnTo>
                  <a:pt x="0" y="364"/>
                </a:lnTo>
                <a:moveTo>
                  <a:pt x="247" y="64"/>
                </a:moveTo>
                <a:lnTo>
                  <a:pt x="247" y="364"/>
                </a:lnTo>
              </a:path>
            </a:pathLst>
          </a:cu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fr-FR"/>
          </a:p>
        </xdr:txBody>
      </xdr:sp>
      <xdr:cxnSp macro="">
        <xdr:nvCxnSpPr>
          <xdr:cNvPr id="21" name="Line 16">
            <a:extLst>
              <a:ext uri="{FF2B5EF4-FFF2-40B4-BE49-F238E27FC236}">
                <a16:creationId xmlns:a16="http://schemas.microsoft.com/office/drawing/2014/main" id="{65B31C08-F67B-4EC5-9882-87C5977810E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241" y="1217"/>
            <a:ext cx="340" cy="0"/>
          </a:xfrm>
          <a:prstGeom prst="line">
            <a:avLst/>
          </a:prstGeom>
          <a:noFill/>
          <a:ln w="4038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2" name="Line 15">
            <a:extLst>
              <a:ext uri="{FF2B5EF4-FFF2-40B4-BE49-F238E27FC236}">
                <a16:creationId xmlns:a16="http://schemas.microsoft.com/office/drawing/2014/main" id="{91FAC038-45A2-4EA0-8EF1-7A53D14FB2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518"/>
            <a:ext cx="325" cy="0"/>
          </a:xfrm>
          <a:prstGeom prst="line">
            <a:avLst/>
          </a:prstGeom>
          <a:noFill/>
          <a:ln w="4064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14">
            <a:extLst>
              <a:ext uri="{FF2B5EF4-FFF2-40B4-BE49-F238E27FC236}">
                <a16:creationId xmlns:a16="http://schemas.microsoft.com/office/drawing/2014/main" id="{B4BF7E5F-B5AA-4E40-9B06-AECD0A06B7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54" y="1248"/>
            <a:ext cx="0" cy="238"/>
          </a:xfrm>
          <a:prstGeom prst="line">
            <a:avLst/>
          </a:prstGeom>
          <a:noFill/>
          <a:ln w="40005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13">
            <a:extLst>
              <a:ext uri="{FF2B5EF4-FFF2-40B4-BE49-F238E27FC236}">
                <a16:creationId xmlns:a16="http://schemas.microsoft.com/office/drawing/2014/main" id="{8EEF03F8-E98F-4CE0-A4CD-AF8484D35B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23" y="1217"/>
            <a:ext cx="325" cy="0"/>
          </a:xfrm>
          <a:prstGeom prst="line">
            <a:avLst/>
          </a:prstGeom>
          <a:noFill/>
          <a:ln w="3937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12">
            <a:extLst>
              <a:ext uri="{FF2B5EF4-FFF2-40B4-BE49-F238E27FC236}">
                <a16:creationId xmlns:a16="http://schemas.microsoft.com/office/drawing/2014/main" id="{1413549C-AC45-4BEA-8C38-FBFCA9E80F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732" y="1364"/>
            <a:ext cx="202" cy="0"/>
          </a:xfrm>
          <a:prstGeom prst="line">
            <a:avLst/>
          </a:prstGeom>
          <a:noFill/>
          <a:ln w="34036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pic>
        <xdr:nvPicPr>
          <xdr:cNvPr id="26" name="Picture 11">
            <a:extLst>
              <a:ext uri="{FF2B5EF4-FFF2-40B4-BE49-F238E27FC236}">
                <a16:creationId xmlns:a16="http://schemas.microsoft.com/office/drawing/2014/main" id="{58817B84-264F-4CBB-81D6-22C920541FE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02" y="1185"/>
            <a:ext cx="388" cy="3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cxnSp macro="">
        <xdr:nvCxnSpPr>
          <xdr:cNvPr id="27" name="Line 10">
            <a:extLst>
              <a:ext uri="{FF2B5EF4-FFF2-40B4-BE49-F238E27FC236}">
                <a16:creationId xmlns:a16="http://schemas.microsoft.com/office/drawing/2014/main" id="{26B2D6AB-511D-46D7-8AE2-95CB64AA2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85" y="23"/>
            <a:ext cx="0" cy="1922"/>
          </a:xfrm>
          <a:prstGeom prst="line">
            <a:avLst/>
          </a:prstGeom>
          <a:noFill/>
          <a:ln w="12700">
            <a:solidFill>
              <a:srgbClr val="F3F3F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8" name="Text Box 9">
            <a:extLst>
              <a:ext uri="{FF2B5EF4-FFF2-40B4-BE49-F238E27FC236}">
                <a16:creationId xmlns:a16="http://schemas.microsoft.com/office/drawing/2014/main" id="{23B87D4A-EC3B-4299-9241-46F966FD4B9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48" y="288"/>
            <a:ext cx="1806" cy="6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lnSpc>
                <a:spcPts val="109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NIF : 001616101088716.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8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AI: 16480102013.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>
              <a:lnSpc>
                <a:spcPts val="1075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RC : 16/00-1010887B16.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9" name="Text Box 8">
            <a:extLst>
              <a:ext uri="{FF2B5EF4-FFF2-40B4-BE49-F238E27FC236}">
                <a16:creationId xmlns:a16="http://schemas.microsoft.com/office/drawing/2014/main" id="{9FF1CDE8-179C-4AF5-9C6E-D04E0D0A1DD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94" y="892"/>
            <a:ext cx="3052" cy="105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>
              <a:spcAft>
                <a:spcPts val="0"/>
              </a:spcAft>
            </a:pPr>
            <a:r>
              <a:rPr lang="fr-FR" sz="11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</a:p>
          <a:p>
            <a:pPr>
              <a:spcBef>
                <a:spcPts val="60"/>
              </a:spcBef>
              <a:spcAft>
                <a:spcPts val="0"/>
              </a:spcAft>
            </a:pPr>
            <a:r>
              <a:rPr lang="fr-FR" sz="8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r>
              <a:rPr lang="fr-FR" sz="900">
                <a:solidFill>
                  <a:srgbClr val="F3F3F3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Ref : WBL/DAF/2025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  <a:p>
            <a:pPr marL="97790">
              <a:lnSpc>
                <a:spcPts val="1090"/>
              </a:lnSpc>
              <a:spcAft>
                <a:spcPts val="0"/>
              </a:spcAft>
            </a:pPr>
            <a:r>
              <a:rPr lang="fr-FR" sz="900"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 </a:t>
            </a:r>
            <a:endParaRPr lang="fr-FR" sz="1100"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/WBL/finance/Gestion%20de%20tresorerie%20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isions Dépenses-Décaiss"/>
      <sheetName val="Prévisions Entrées-Encaiss"/>
      <sheetName val="Flux de trésorerie"/>
      <sheetName val="Hebergement "/>
      <sheetName val="Dettes ANPT"/>
      <sheetName val="Dettes G50 "/>
    </sheetNames>
    <sheetDataSet>
      <sheetData sheetId="0">
        <row r="26">
          <cell r="C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</row>
        <row r="44">
          <cell r="C44"/>
          <cell r="F44"/>
          <cell r="G44"/>
          <cell r="H44"/>
          <cell r="I44"/>
          <cell r="J44"/>
          <cell r="K44"/>
          <cell r="N44"/>
        </row>
        <row r="45">
          <cell r="C45"/>
          <cell r="E45"/>
          <cell r="I45"/>
          <cell r="J45"/>
          <cell r="L45"/>
          <cell r="M45"/>
          <cell r="N45"/>
        </row>
        <row r="46">
          <cell r="C46"/>
          <cell r="F46"/>
          <cell r="J46"/>
          <cell r="M46"/>
          <cell r="N46"/>
        </row>
        <row r="47">
          <cell r="C47"/>
          <cell r="D47"/>
          <cell r="E47"/>
          <cell r="G47"/>
          <cell r="H47"/>
          <cell r="I47"/>
          <cell r="K47"/>
          <cell r="L47"/>
          <cell r="M47"/>
        </row>
        <row r="48">
          <cell r="C48"/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</row>
        <row r="51"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</row>
        <row r="52">
          <cell r="C52"/>
          <cell r="N52"/>
        </row>
        <row r="53">
          <cell r="C53"/>
          <cell r="F53"/>
          <cell r="G53"/>
          <cell r="J53"/>
        </row>
        <row r="54">
          <cell r="C54"/>
          <cell r="D54"/>
          <cell r="E54"/>
          <cell r="F54"/>
          <cell r="G54"/>
          <cell r="H54"/>
          <cell r="I54"/>
          <cell r="J54"/>
          <cell r="M54"/>
          <cell r="N54"/>
        </row>
        <row r="62">
          <cell r="C62"/>
          <cell r="D62"/>
          <cell r="F62"/>
          <cell r="G62"/>
          <cell r="H62"/>
          <cell r="I62"/>
          <cell r="L62"/>
        </row>
        <row r="63">
          <cell r="C63"/>
          <cell r="G63"/>
          <cell r="I63"/>
        </row>
        <row r="64">
          <cell r="C64"/>
          <cell r="F64"/>
          <cell r="H64"/>
          <cell r="I64"/>
          <cell r="J64"/>
          <cell r="L64"/>
        </row>
        <row r="65">
          <cell r="C65"/>
          <cell r="D65"/>
          <cell r="E65"/>
          <cell r="H65"/>
          <cell r="I65"/>
        </row>
        <row r="66">
          <cell r="C66"/>
        </row>
        <row r="68">
          <cell r="C68"/>
          <cell r="D68"/>
          <cell r="E68"/>
          <cell r="F68"/>
          <cell r="G68"/>
          <cell r="H68"/>
          <cell r="I68"/>
          <cell r="J68"/>
          <cell r="L68"/>
        </row>
        <row r="69">
          <cell r="C69"/>
          <cell r="D69"/>
          <cell r="E69"/>
          <cell r="F69"/>
          <cell r="G69"/>
          <cell r="H69"/>
          <cell r="I69"/>
          <cell r="J69"/>
          <cell r="L69"/>
        </row>
        <row r="70">
          <cell r="C70"/>
        </row>
        <row r="71">
          <cell r="C71"/>
          <cell r="L71"/>
        </row>
        <row r="72">
          <cell r="C72"/>
          <cell r="F72"/>
          <cell r="H72"/>
        </row>
        <row r="80">
          <cell r="C80"/>
          <cell r="D80"/>
          <cell r="F80"/>
          <cell r="G80"/>
          <cell r="H80"/>
        </row>
        <row r="81">
          <cell r="C81"/>
          <cell r="F81"/>
          <cell r="I81"/>
        </row>
        <row r="82">
          <cell r="C82"/>
          <cell r="F82"/>
          <cell r="H82"/>
          <cell r="J82"/>
        </row>
        <row r="83">
          <cell r="C83"/>
          <cell r="D83"/>
          <cell r="E83"/>
          <cell r="H83"/>
          <cell r="I83"/>
        </row>
        <row r="84">
          <cell r="C84"/>
        </row>
        <row r="86">
          <cell r="C86"/>
          <cell r="D86"/>
          <cell r="E86"/>
          <cell r="F86"/>
          <cell r="G86"/>
          <cell r="H86"/>
          <cell r="I86"/>
          <cell r="J86"/>
          <cell r="L86"/>
        </row>
        <row r="87">
          <cell r="C87"/>
          <cell r="D87"/>
          <cell r="E87"/>
          <cell r="F87"/>
          <cell r="G87"/>
          <cell r="H87"/>
          <cell r="I87"/>
          <cell r="J87"/>
          <cell r="L87"/>
          <cell r="N87"/>
        </row>
        <row r="88">
          <cell r="C88"/>
        </row>
        <row r="89">
          <cell r="C89"/>
          <cell r="L89"/>
        </row>
        <row r="90">
          <cell r="C90"/>
          <cell r="F90"/>
          <cell r="H90"/>
        </row>
      </sheetData>
      <sheetData sheetId="1">
        <row r="25">
          <cell r="C25"/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</row>
        <row r="27"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</row>
        <row r="29"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</row>
        <row r="31"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</row>
        <row r="35"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</row>
        <row r="42">
          <cell r="C42"/>
          <cell r="E42"/>
          <cell r="G42"/>
          <cell r="K42"/>
        </row>
        <row r="43">
          <cell r="C43"/>
          <cell r="E43"/>
          <cell r="F43"/>
          <cell r="H43"/>
          <cell r="I43"/>
          <cell r="L43"/>
          <cell r="M43"/>
        </row>
        <row r="44">
          <cell r="C44"/>
          <cell r="F44"/>
          <cell r="J44"/>
          <cell r="N44"/>
        </row>
        <row r="45">
          <cell r="C45"/>
          <cell r="E45"/>
          <cell r="G45"/>
          <cell r="K45"/>
        </row>
        <row r="46">
          <cell r="C46"/>
          <cell r="D46"/>
          <cell r="G46"/>
          <cell r="K46"/>
          <cell r="L46"/>
        </row>
        <row r="47">
          <cell r="C47"/>
          <cell r="G47"/>
          <cell r="K47"/>
        </row>
        <row r="48">
          <cell r="C48"/>
          <cell r="F48"/>
          <cell r="G48"/>
          <cell r="I48"/>
          <cell r="K48"/>
          <cell r="M48"/>
        </row>
        <row r="49">
          <cell r="C49"/>
          <cell r="G49"/>
          <cell r="K49"/>
          <cell r="M49"/>
        </row>
        <row r="50">
          <cell r="C50"/>
          <cell r="G50"/>
          <cell r="K50"/>
        </row>
        <row r="51">
          <cell r="C51"/>
          <cell r="G51"/>
          <cell r="H51"/>
          <cell r="K51"/>
        </row>
        <row r="52">
          <cell r="C52"/>
          <cell r="F52"/>
        </row>
        <row r="59">
          <cell r="C59"/>
          <cell r="G59"/>
          <cell r="K59"/>
        </row>
        <row r="60">
          <cell r="C60"/>
          <cell r="D60"/>
          <cell r="E60"/>
          <cell r="F60"/>
          <cell r="I60"/>
          <cell r="K60"/>
        </row>
        <row r="61">
          <cell r="C61"/>
          <cell r="F61"/>
          <cell r="J61"/>
          <cell r="K61"/>
        </row>
        <row r="62">
          <cell r="C62"/>
          <cell r="K62"/>
        </row>
        <row r="63">
          <cell r="C63"/>
          <cell r="D63"/>
          <cell r="E63"/>
          <cell r="F63"/>
          <cell r="I63"/>
          <cell r="J63"/>
          <cell r="K63"/>
        </row>
        <row r="64">
          <cell r="C64"/>
          <cell r="K64"/>
        </row>
        <row r="65">
          <cell r="C65"/>
          <cell r="K65"/>
        </row>
        <row r="66">
          <cell r="C66"/>
          <cell r="I66"/>
          <cell r="J66"/>
          <cell r="K66"/>
        </row>
        <row r="67">
          <cell r="C67"/>
          <cell r="K67"/>
        </row>
        <row r="68">
          <cell r="C68"/>
          <cell r="K68"/>
          <cell r="N68"/>
        </row>
        <row r="69">
          <cell r="C69"/>
          <cell r="K69"/>
        </row>
        <row r="76">
          <cell r="C76"/>
          <cell r="G76"/>
          <cell r="K76"/>
        </row>
        <row r="77">
          <cell r="C77"/>
          <cell r="E77"/>
          <cell r="I77"/>
          <cell r="K77"/>
          <cell r="M77"/>
        </row>
        <row r="78">
          <cell r="C78"/>
          <cell r="F78"/>
          <cell r="J78"/>
          <cell r="K78"/>
        </row>
        <row r="79">
          <cell r="C79"/>
          <cell r="K79"/>
        </row>
        <row r="80">
          <cell r="C80"/>
          <cell r="D80"/>
          <cell r="H80"/>
          <cell r="I80"/>
          <cell r="J80"/>
          <cell r="K80"/>
          <cell r="L80"/>
          <cell r="O80"/>
          <cell r="Q80"/>
        </row>
        <row r="81">
          <cell r="C81"/>
          <cell r="H81"/>
          <cell r="I81"/>
          <cell r="J81"/>
          <cell r="K81"/>
        </row>
        <row r="82">
          <cell r="C82"/>
          <cell r="H82"/>
          <cell r="I82"/>
          <cell r="J82"/>
          <cell r="K82"/>
        </row>
        <row r="83">
          <cell r="C83"/>
          <cell r="H83"/>
          <cell r="I83"/>
          <cell r="J83"/>
          <cell r="K83"/>
        </row>
        <row r="84">
          <cell r="C84"/>
          <cell r="E84"/>
          <cell r="G84"/>
          <cell r="H84"/>
          <cell r="I84"/>
          <cell r="J84"/>
          <cell r="K84"/>
        </row>
        <row r="85">
          <cell r="C85"/>
          <cell r="K85"/>
        </row>
        <row r="86">
          <cell r="C86"/>
          <cell r="K86"/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D80A9-D626-4953-80E7-7BCDA348B27D}" name="Tableau1" displayName="Tableau1" ref="C25:N37" totalsRowCount="1" dataDxfId="211" totalsRowDxfId="210" totalsRowBorderDxfId="209">
  <autoFilter ref="C25:N36" xr:uid="{75FB0C63-1164-4572-BC32-02D27FC2FD98}"/>
  <tableColumns count="12">
    <tableColumn id="1" xr3:uid="{558D8A28-D7D3-44F7-ADE9-44431091497F}" name="Janvier 1-7" totalsRowFunction="custom" dataDxfId="208" totalsRowDxfId="207">
      <calculatedColumnFormula>SUM(C21:C25)</calculatedColumnFormula>
      <totalsRowFormula>SUM(C32:C36)</totalsRowFormula>
    </tableColumn>
    <tableColumn id="9" xr3:uid="{D7D3DE1F-1D78-48B9-9406-237AC531A9FB}" name="Janvier 8-15" totalsRowFunction="custom" dataDxfId="206" totalsRowDxfId="205">
      <totalsRowFormula>SUM(D32:D36)</totalsRowFormula>
    </tableColumn>
    <tableColumn id="10" xr3:uid="{4B1D0F51-6F3B-4966-BFC5-4800FD5DFFDD}" name="Janvier 16-23" totalsRowFunction="custom" dataDxfId="204" totalsRowDxfId="203">
      <totalsRowFormula>SUM(E32:E36)</totalsRowFormula>
    </tableColumn>
    <tableColumn id="19" xr3:uid="{B91CD431-5124-4EAD-BEE3-51B3E3546349}" name="Janvier 24-31" totalsRowFunction="custom" dataDxfId="202" totalsRowDxfId="201">
      <totalsRowFormula>SUM(F32:F36)</totalsRowFormula>
    </tableColumn>
    <tableColumn id="2" xr3:uid="{0451F1CD-A493-4C6A-A1D4-2899EF1176B6}" name="Fevrier 1-7" totalsRowFunction="custom" dataDxfId="200" totalsRowDxfId="199">
      <totalsRowFormula>SUM(G32:G36)</totalsRowFormula>
    </tableColumn>
    <tableColumn id="20" xr3:uid="{B3E8DFCF-041E-4857-A464-6F487A41ED02}" name="Fevrier 8-15" totalsRowFunction="custom" dataDxfId="198" totalsRowDxfId="197">
      <totalsRowFormula>SUM(H32:H36)</totalsRowFormula>
    </tableColumn>
    <tableColumn id="11" xr3:uid="{53A16F55-D5EA-4711-8180-F117D240CD93}" name="Fevrier 16-23" totalsRowFunction="custom" dataDxfId="196" totalsRowDxfId="195">
      <totalsRowFormula>SUM(I32:I36)</totalsRowFormula>
    </tableColumn>
    <tableColumn id="21" xr3:uid="{35F7A06E-7400-4F6F-BAAB-18598DACE8B8}" name="Fevrier 24-28" totalsRowFunction="custom" dataDxfId="194" totalsRowDxfId="193">
      <totalsRowFormula>SUM(J32:J36)</totalsRowFormula>
    </tableColumn>
    <tableColumn id="3" xr3:uid="{F7BEBE41-986B-4594-B3E3-90E2D726837E}" name="Mars 1-7" totalsRowFunction="custom" dataDxfId="192" totalsRowDxfId="191">
      <totalsRowFormula>SUM(K32:K36)</totalsRowFormula>
    </tableColumn>
    <tableColumn id="22" xr3:uid="{BC4B3FA5-D98D-439B-BAA8-36CD4C4D6B96}" name="Mars 8-15" totalsRowFunction="custom" dataDxfId="190" totalsRowDxfId="189">
      <totalsRowFormula>SUM(L32:L36)</totalsRowFormula>
    </tableColumn>
    <tableColumn id="12" xr3:uid="{BE964575-BBE9-4E9C-A5AF-4BA6FAF52EA6}" name="Mars 16-23" totalsRowFunction="custom" dataDxfId="188" totalsRowDxfId="187">
      <totalsRowFormula>SUM(M32:M36)</totalsRowFormula>
    </tableColumn>
    <tableColumn id="23" xr3:uid="{21D43377-F22A-45A8-80D6-4B023464C82A}" name="Mars 24-31" totalsRowFunction="custom" dataDxfId="186" totalsRowDxfId="185">
      <totalsRowFormula>SUM(N32:N36)</totalsRow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5F7B4B-3C82-4869-B349-0ECF367361D2}" name="Tableau3" displayName="Tableau3" ref="C43:N56" totalsRowShown="0">
  <autoFilter ref="C43:N56" xr:uid="{15FB33E1-4EC1-49F9-94DD-B4F9FBF4C0F6}"/>
  <tableColumns count="12">
    <tableColumn id="1" xr3:uid="{A1C0CFC0-B603-4C7E-9306-8F397CEF207B}" name="Avril 1-7" dataDxfId="184">
      <calculatedColumnFormula>SUM(C39:C43)</calculatedColumnFormula>
    </tableColumn>
    <tableColumn id="2" xr3:uid="{7EFBB66B-2B0E-4668-A94F-6E09D63C36A8}" name="Avril 8-15"/>
    <tableColumn id="3" xr3:uid="{F5618FD2-4F18-43B6-9364-0913EAC7BA53}" name="Avril 16-23"/>
    <tableColumn id="4" xr3:uid="{6881466D-71D5-436B-B935-C4CF41B951D5}" name="Avril 24-30"/>
    <tableColumn id="5" xr3:uid="{3A129CB2-4950-42BD-88FF-127263CA3577}" name="Mai 1-7"/>
    <tableColumn id="6" xr3:uid="{680ECEFD-FC7A-4543-898B-1F4E98089A91}" name="Mai 8-15"/>
    <tableColumn id="7" xr3:uid="{EEC0536B-F515-49AB-BE33-8E83A3117672}" name="Mai 16-23"/>
    <tableColumn id="8" xr3:uid="{74FE1BCE-34A5-4033-8649-60B06265291E}" name="Mai 24-31"/>
    <tableColumn id="9" xr3:uid="{E5CEC15A-AB3D-46CC-9267-41B70997860E}" name="Juin 1-7"/>
    <tableColumn id="10" xr3:uid="{BCE8BB16-975B-4265-9A0A-AC662D90C38E}" name="Juin 8-15"/>
    <tableColumn id="11" xr3:uid="{AAB0ED45-8C5C-4BA5-91B8-863937472233}" name="Juin 16-23"/>
    <tableColumn id="12" xr3:uid="{AD2EB0B0-7BEC-4C21-9CE5-6248B011BA0F}" name="Juin 24-30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F8F922-58A5-4844-9707-39D4A1A5840A}" name="Tableau4" displayName="Tableau4" ref="C61:N74" totalsRowShown="0">
  <autoFilter ref="C61:N74" xr:uid="{C8AD9097-4FCC-4A17-BB8C-035E487FEBB5}"/>
  <tableColumns count="12">
    <tableColumn id="1" xr3:uid="{6818B897-680D-4BCA-B1F2-56CBB6D1043F}" name="Juillet 1-7" dataDxfId="183">
      <calculatedColumnFormula>SUM(C57:C61)</calculatedColumnFormula>
    </tableColumn>
    <tableColumn id="2" xr3:uid="{12747EC6-4FFC-4F83-90A4-05FA91413B7E}" name="Juillet 8-15"/>
    <tableColumn id="3" xr3:uid="{53226B3B-2A11-48CD-80C0-96600F175362}" name="Juillet 16-23"/>
    <tableColumn id="4" xr3:uid="{0C8581CF-C523-43D6-BC7A-453B88CCA9F1}" name="Juillet 24-31"/>
    <tableColumn id="5" xr3:uid="{BE692FD8-808B-4D0C-8350-0733C78ACEC9}" name="Aout 1-7"/>
    <tableColumn id="6" xr3:uid="{FC4E12AB-9016-40EE-8A92-23E0CC4C87EA}" name="Aout 8-15"/>
    <tableColumn id="7" xr3:uid="{FA9B59C8-1DA9-416C-BFB7-2FE32369FC33}" name="Aout 16-23"/>
    <tableColumn id="8" xr3:uid="{16DE719C-1E53-44CA-A49B-E458B91247A2}" name="Aout 24-31"/>
    <tableColumn id="9" xr3:uid="{81F36755-DB5D-4766-8422-94365B8CDFAE}" name="Septembre 1-7"/>
    <tableColumn id="10" xr3:uid="{999583E3-D309-4566-8AA3-C69C6DC3CD85}" name="Septembre 8-15"/>
    <tableColumn id="11" xr3:uid="{4C7BFF87-B8B8-4D7B-AFFB-D4D86E0A10D9}" name="Septembre 16-23"/>
    <tableColumn id="12" xr3:uid="{4769CE33-9B08-42E4-BDEC-B47767ABB921}" name="Septembre 24-31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6A4A3A-3AB0-429F-AC6C-FD322D4DF5D2}" name="Tableau413" displayName="Tableau413" ref="C79:R92" totalsRowShown="0">
  <autoFilter ref="C79:R92" xr:uid="{C62B9082-01AD-4611-82B4-8545BD52DB7F}"/>
  <tableColumns count="16">
    <tableColumn id="1" xr3:uid="{950981C0-7E9F-4635-B15F-552CDAD87F3F}" name="Octobre 1-7" dataDxfId="182">
      <calculatedColumnFormula>SUM(C75:C79)</calculatedColumnFormula>
    </tableColumn>
    <tableColumn id="2" xr3:uid="{293F3024-0A33-4FCB-8AA6-7D0DAD9127BB}" name="Octobre 8-15"/>
    <tableColumn id="3" xr3:uid="{60559546-0727-4127-9B49-C1C4AE91C82B}" name="Octobre 16-23"/>
    <tableColumn id="4" xr3:uid="{65F2C21C-99C7-4670-9C37-1D374A195DEF}" name="Octobre 24-31"/>
    <tableColumn id="5" xr3:uid="{3B3679CC-D7F1-4C14-87C4-929E20C106BB}" name="Novembre 1-7"/>
    <tableColumn id="6" xr3:uid="{5D3278F3-9979-4ADD-9CDC-5BBC2AA4F6A1}" name="Novembre 8-15"/>
    <tableColumn id="7" xr3:uid="{69AB09A0-4DF3-415E-A5BB-D9779306E555}" name="Novembre 16-23"/>
    <tableColumn id="8" xr3:uid="{657EF61F-FDB2-42AA-A564-22189CE47978}" name="Novembre 24-31"/>
    <tableColumn id="9" xr3:uid="{DF4D7326-81AD-4291-8C2F-5A50DD474687}" name="Decembre 1-7"/>
    <tableColumn id="10" xr3:uid="{8F85B29F-4E00-4A24-B246-5A7FC373FBAE}" name="Decembre 8-15"/>
    <tableColumn id="11" xr3:uid="{DF9A83B9-4C6A-4874-B730-0F95CAB9B01F}" name="Decembre 16-23"/>
    <tableColumn id="12" xr3:uid="{530756FB-F326-4EE4-9676-CF90437E2FB0}" name="Decembre 24-31"/>
    <tableColumn id="14" xr3:uid="{E1FA8F2D-71B0-4CC7-8179-C3581DBD898E}" name="janvier 8-15-21"/>
    <tableColumn id="15" xr3:uid="{BBAA41B3-89A0-432B-B2E9-E43C73E5DFD4}" name="janvier 16-23-21"/>
    <tableColumn id="16" xr3:uid="{7B11B1D8-7393-4409-A5F0-90AF68CE37ED}" name="janvier 24-31-21"/>
    <tableColumn id="17" xr3:uid="{838F004E-9629-4297-B242-6D1025A7A1F8}" name="TOTAL" dataDxfId="181">
      <calculatedColumnFormula>SUM(C26:N26,C44:N44,C62:N62,Tableau413[[#This Row],[Octobre 1-7]:[janvier 24-31-21]])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DD1885-A23B-40F6-B2BF-D20E46C79E83}" name="Tableau13" displayName="Tableau13" ref="C24:N36" totalsRowCount="1" dataDxfId="180" totalsRowDxfId="179" totalsRowBorderDxfId="178">
  <autoFilter ref="C24:N35" xr:uid="{75FB0C63-1164-4572-BC32-02D27FC2FD98}"/>
  <tableColumns count="12">
    <tableColumn id="1" xr3:uid="{44096E9E-ABCE-42F5-B038-AB7D3F42E2A8}" name="Janvier 1-7" totalsRowFunction="custom" dataDxfId="177" totalsRowDxfId="176">
      <totalsRowFormula>SUM(Tableau13[Janvier 1-7])</totalsRowFormula>
    </tableColumn>
    <tableColumn id="9" xr3:uid="{38686C36-55D4-4254-8ACC-8F0B90E8B522}" name="Janvier  8-15" totalsRowFunction="custom" dataDxfId="175" totalsRowDxfId="174">
      <totalsRowFormula>SUM(Tableau13[Janvier  8-15])</totalsRowFormula>
    </tableColumn>
    <tableColumn id="10" xr3:uid="{37A42A80-0B6C-41BA-B72D-D7EED36AF74E}" name="Janvier  16-23" totalsRowFunction="custom" dataDxfId="173" totalsRowDxfId="172">
      <totalsRowFormula>SUM(Tableau13[Janvier  16-23])</totalsRowFormula>
    </tableColumn>
    <tableColumn id="19" xr3:uid="{D5B9D2AF-6E30-412D-99D2-253DC7C4A598}" name="Janvier  24-31" totalsRowFunction="custom" dataDxfId="171" totalsRowDxfId="170">
      <totalsRowFormula>SUM(Tableau13[Janvier  24-31])</totalsRowFormula>
    </tableColumn>
    <tableColumn id="2" xr3:uid="{6982DF49-D7B2-49F0-84A9-3C139C05DCF2}" name="Fevrier 1-7" totalsRowFunction="custom" dataDxfId="169" totalsRowDxfId="168">
      <totalsRowFormula>SUM(Tableau13[Fevrier 1-7])</totalsRowFormula>
    </tableColumn>
    <tableColumn id="20" xr3:uid="{4142FE91-BE8E-480B-9EEC-A22C7279B668}" name="Fevrier 8-15" totalsRowFunction="custom" dataDxfId="167" totalsRowDxfId="166">
      <totalsRowFormula>SUM(Tableau13[Fevrier 8-15])</totalsRowFormula>
    </tableColumn>
    <tableColumn id="11" xr3:uid="{233AB0E9-07BF-44B9-9059-9339F708E683}" name="Fevrier 16-23" totalsRowFunction="custom" dataDxfId="165" totalsRowDxfId="164">
      <totalsRowFormula>SUM(Tableau13[Fevrier 16-23])</totalsRowFormula>
    </tableColumn>
    <tableColumn id="21" xr3:uid="{2C4343EE-522A-4648-B4A4-3C11B5CAB2DC}" name="Fevrier 24-28" totalsRowFunction="custom" dataDxfId="163" totalsRowDxfId="162">
      <totalsRowFormula>SUM(Tableau13[Fevrier 24-28])</totalsRowFormula>
    </tableColumn>
    <tableColumn id="3" xr3:uid="{88D382A8-58D5-4E35-932C-05B39E9D0C78}" name="Mars 1-7" totalsRowFunction="custom" dataDxfId="161" totalsRowDxfId="160">
      <totalsRowFormula>SUM(Tableau13[Mars 1-7])</totalsRowFormula>
    </tableColumn>
    <tableColumn id="22" xr3:uid="{6244C7AE-C50E-40A0-A6D1-839C771C873C}" name="Mars 8-15" totalsRowFunction="custom" dataDxfId="159" totalsRowDxfId="158">
      <totalsRowFormula>SUM(Tableau13[Mars 8-15])</totalsRowFormula>
    </tableColumn>
    <tableColumn id="12" xr3:uid="{A9A2CB48-F3EC-4B90-B107-82B9D8EDAC88}" name="Mars 16-23" totalsRowFunction="custom" dataDxfId="157" totalsRowDxfId="156">
      <totalsRowFormula>SUM(Tableau13[Mars 16-23])</totalsRowFormula>
    </tableColumn>
    <tableColumn id="23" xr3:uid="{126768E5-8CD7-4FA1-971C-FBC5F840E74D}" name="Mars 24-31" totalsRowFunction="custom" dataDxfId="155" totalsRowDxfId="154">
      <totalsRowFormula>SUM(Tableau13[Mars 24-31])</totalsRow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6C5582-251F-4F32-9F3F-E2D08FC3809D}" name="Tableau36" displayName="Tableau36" ref="C41:N53" totalsRowShown="0">
  <autoFilter ref="C41:N53" xr:uid="{15FB33E1-4EC1-49F9-94DD-B4F9FBF4C0F6}"/>
  <tableColumns count="12">
    <tableColumn id="1" xr3:uid="{4F7FD835-7B65-4EC0-B254-7093527786DB}" name="Avril 1-7" dataDxfId="153">
      <calculatedColumnFormula>SUM(C31:C41)</calculatedColumnFormula>
    </tableColumn>
    <tableColumn id="2" xr3:uid="{078829C2-B978-43EB-9338-D80737C0DC26}" name="Avril 8-15"/>
    <tableColumn id="3" xr3:uid="{560F416E-FBFD-4CEA-8022-B5CF707473D6}" name="Avril 16-23"/>
    <tableColumn id="4" xr3:uid="{B2CCC960-1D42-4D0B-B8B6-CE798F8927E1}" name="Avril 24-30"/>
    <tableColumn id="5" xr3:uid="{F8F4DF00-574A-4CB6-9736-73F0E3E806D5}" name="Mai 1-7"/>
    <tableColumn id="6" xr3:uid="{F23A9598-4F57-4D17-837B-839547CE5DB8}" name="Mai  8-15"/>
    <tableColumn id="7" xr3:uid="{6A15B70D-FD0E-4ABA-826B-6BEEBA9E86AA}" name="Mai  16-23"/>
    <tableColumn id="8" xr3:uid="{CA1679D8-82B3-47E2-B007-A76DA0624D4A}" name="Mai  24-31"/>
    <tableColumn id="9" xr3:uid="{CC3AAD9F-FCB1-421D-9288-09F607A76B19}" name="Juin 1-7"/>
    <tableColumn id="10" xr3:uid="{90632724-881A-4704-983F-2B5AD828156C}" name="Juin 8-15"/>
    <tableColumn id="11" xr3:uid="{0059856E-68CF-4689-8C51-7595423BADDE}" name="Juin 16-23"/>
    <tableColumn id="12" xr3:uid="{A763961B-4241-46EE-AC30-0BF10A1460F1}" name="Juin 24-30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E2144E-F5FB-432D-83E3-EB5D0BBF9A0A}" name="Tableau47" displayName="Tableau47" ref="C58:N70" totalsRowShown="0">
  <autoFilter ref="C58:N70" xr:uid="{C8AD9097-4FCC-4A17-BB8C-035E487FEBB5}"/>
  <tableColumns count="12">
    <tableColumn id="1" xr3:uid="{2DF478B4-6C6C-4770-8C7A-6B9C0604EE9B}" name="Juillet 1-7" dataDxfId="152">
      <calculatedColumnFormula>SUM(C48:C58)</calculatedColumnFormula>
    </tableColumn>
    <tableColumn id="2" xr3:uid="{EF0D9A3B-BB4C-4F35-84DE-9F482A4C2B80}" name="Juillet 8-15"/>
    <tableColumn id="3" xr3:uid="{EA47C39A-D6AD-46C6-ACD6-20DA9980AE5A}" name="Juillet 16-23"/>
    <tableColumn id="4" xr3:uid="{D09754DB-6909-4287-84E0-7EE6566978EF}" name="Juillet 24-31"/>
    <tableColumn id="5" xr3:uid="{92C8AB7A-08EC-4CE7-8436-39387C2DC129}" name="Aout 1-7"/>
    <tableColumn id="6" xr3:uid="{096E60B5-D258-4B35-A5D1-FD6A3E690977}" name="Aout 8-15"/>
    <tableColumn id="7" xr3:uid="{C1D47205-6499-46D8-8045-6070416EED58}" name="Aout 16-23"/>
    <tableColumn id="8" xr3:uid="{35763DB7-5882-4E7E-B997-BDFD9A573260}" name="Aout 24-31"/>
    <tableColumn id="9" xr3:uid="{E59824EE-4FEC-4C2A-A51F-AD66F7CF7518}" name="Septembre 1-7" dataDxfId="151"/>
    <tableColumn id="10" xr3:uid="{D33CBCE8-3DE2-4FDF-A0DC-2770E8D20DFC}" name="Septembre 8-15"/>
    <tableColumn id="11" xr3:uid="{8EF74A2E-8BA1-4567-81F5-6BD4D3A520B0}" name="Septembre 16-23"/>
    <tableColumn id="12" xr3:uid="{B17C9EAC-C4C2-4BF1-82B8-6D4134BFE989}" name="Septembre 24-30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32DB00-AA49-4EB1-821C-20822BE69B52}" name="Tableau4714" displayName="Tableau4714" ref="C75:S87" totalsRowShown="0">
  <autoFilter ref="C75:S87" xr:uid="{2B9B3B4F-08AD-4145-B331-E37D74D791A7}"/>
  <tableColumns count="17">
    <tableColumn id="1" xr3:uid="{19780783-603C-480F-9C62-0121AC0816A9}" name="Octobre 1-7" dataDxfId="150">
      <calculatedColumnFormula>SUM(C65:C75)</calculatedColumnFormula>
    </tableColumn>
    <tableColumn id="2" xr3:uid="{36A3B920-FFBA-4566-A097-0BFD46E0FAD3}" name="Octobre 8-15"/>
    <tableColumn id="3" xr3:uid="{C464E198-E4FE-4973-8EF2-1AA8DF3A3B37}" name="Octobre 16-23"/>
    <tableColumn id="4" xr3:uid="{DCAE4E78-6925-450F-AE5E-1394BCDDFEEA}" name="Octobre 24-30"/>
    <tableColumn id="5" xr3:uid="{F0508AC7-C10C-43DB-AA6B-496C8815C4D1}" name="Novembre 1-7"/>
    <tableColumn id="6" xr3:uid="{87D672F2-D2B9-4801-A8DD-D7F7556A8828}" name="Novembre 8-15"/>
    <tableColumn id="7" xr3:uid="{FDDCEE86-EECF-463B-9947-E2B08C2FD1CE}" name="Novembre 16-23"/>
    <tableColumn id="8" xr3:uid="{5446033F-CF0C-448F-8A87-3C6D857D1FCD}" name="Novembre 24-30"/>
    <tableColumn id="9" xr3:uid="{B0DC1E5A-E178-4C28-9A38-BEB90D5E9E5C}" name="Decembre 1-7" dataDxfId="149"/>
    <tableColumn id="10" xr3:uid="{F5161E10-55AD-41F8-AA48-009D0FC2019C}" name="Decembre 8-15"/>
    <tableColumn id="11" xr3:uid="{DBAF2CED-D420-46E8-9241-281A81080378}" name="Decembre 16-23"/>
    <tableColumn id="12" xr3:uid="{50E24C50-8B25-4B0E-AEA1-3C710D438036}" name="Decembre 24-30"/>
    <tableColumn id="13" xr3:uid="{2D8E0BBE-A8F3-4869-84FA-E32236801824}" name="Janvier 1-7-21"/>
    <tableColumn id="14" xr3:uid="{BFBB3CAC-C294-4FEF-BFD9-2A572B22BBB0}" name="Janvier 8-15-21"/>
    <tableColumn id="15" xr3:uid="{CCC2EDD6-1CFA-434D-B1E8-E62CEF6D35C9}" name="Janvier 16-23-21"/>
    <tableColumn id="16" xr3:uid="{4FB80EC0-783D-4C41-81D4-A1C2EF85CF58}" name="Janvier 24-30-21"/>
    <tableColumn id="17" xr3:uid="{12A2D508-A376-4368-B28E-E10CB449635E}" name="TOTAL" dataDxfId="148">
      <calculatedColumnFormula>SUM(S65:S75)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E8E52EF-8C73-4CCF-868B-9F86731A378B}" name="Tableau138" displayName="Tableau138" ref="C22:N48" totalsRowShown="0" dataDxfId="147" totalsRowDxfId="146" totalsRowBorderDxfId="145">
  <autoFilter ref="C22:N48" xr:uid="{75FB0C63-1164-4572-BC32-02D27FC2FD98}"/>
  <tableColumns count="12">
    <tableColumn id="1" xr3:uid="{77A62CFF-4D37-43C7-9A4B-541C5978ECB2}" name="Janvier 1-7" dataDxfId="144" totalsRowDxfId="143"/>
    <tableColumn id="9" xr3:uid="{778FC184-0AF2-485B-8297-E71524294DE6}" name="Janvier 8-15" dataDxfId="142" totalsRowDxfId="141"/>
    <tableColumn id="10" xr3:uid="{393804FE-C0B6-46A2-AEE2-AA6782DD5F15}" name="Janvier 16-23" dataDxfId="140" totalsRowDxfId="139"/>
    <tableColumn id="19" xr3:uid="{AEEA916F-25A0-4EAB-BFCF-5616883C5F6C}" name="Janvier 24-31" dataDxfId="138" totalsRowDxfId="137"/>
    <tableColumn id="2" xr3:uid="{800EB8CB-589C-4B5C-AD22-EFC8B9C3BBFF}" name="Fevrier 1-7" dataDxfId="136" totalsRowDxfId="135"/>
    <tableColumn id="20" xr3:uid="{028D49A0-85A6-4C41-9847-04727B3344AC}" name="Fevrier 8-15" dataDxfId="134" totalsRowDxfId="133"/>
    <tableColumn id="11" xr3:uid="{FCB876AC-4E7A-4A20-AA11-A38C59A016DA}" name="Fevrier 16-23" dataDxfId="132" totalsRowDxfId="131"/>
    <tableColumn id="21" xr3:uid="{2B24BF23-C1FE-4E2D-A97E-997B50B9E9F2}" name="Fevrier 24-28" dataDxfId="130" totalsRowDxfId="129"/>
    <tableColumn id="3" xr3:uid="{350F1505-0DD5-4ADB-A9F5-A813D451AE1A}" name="Mars 1-7" dataDxfId="128" totalsRowDxfId="127"/>
    <tableColumn id="22" xr3:uid="{D93DC0FA-4D1A-49E7-A4EC-20E63B61D8D3}" name="Mars 8-15" dataDxfId="126" totalsRowDxfId="125"/>
    <tableColumn id="12" xr3:uid="{8DB04595-F1FB-4091-A494-56D05A870866}" name="Mars 16-23" dataDxfId="124" totalsRowDxfId="123"/>
    <tableColumn id="23" xr3:uid="{D00C2E46-F817-4CA9-8AB7-9AE05B373B42}" name="Mars 24-31" dataDxfId="122" totalsRowDxfId="121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61F0DA-157E-4AD8-857B-EE518080DDA6}" name="Tableau13811" displayName="Tableau13811" ref="C57:N83" totalsRowShown="0" dataDxfId="120" totalsRowDxfId="119" totalsRowBorderDxfId="118">
  <autoFilter ref="C57:N83" xr:uid="{54156477-891D-4071-8A70-4172E1497415}"/>
  <tableColumns count="12">
    <tableColumn id="1" xr3:uid="{80ECE105-95BD-442D-A33D-2AB509568EE1}" name="Avril 1-7" dataDxfId="117" totalsRowDxfId="116"/>
    <tableColumn id="9" xr3:uid="{B4BC065A-7698-40AB-8B23-638A42C54FE8}" name="Avril 8-15" dataDxfId="115" totalsRowDxfId="114"/>
    <tableColumn id="10" xr3:uid="{B858522D-3DEF-4498-A4E2-90DCBC2FDBE1}" name="Avril 16-23" dataDxfId="113" totalsRowDxfId="112"/>
    <tableColumn id="19" xr3:uid="{376A44D8-F581-412B-84DB-9BE030263B44}" name="Avril 24-30" dataDxfId="111" totalsRowDxfId="110"/>
    <tableColumn id="2" xr3:uid="{5DD4B458-6ACD-4798-B2AE-724A893148FE}" name="Mai 1-7" dataDxfId="109" totalsRowDxfId="108"/>
    <tableColumn id="20" xr3:uid="{33C5A14B-2522-47D5-8D30-FC30571F3120}" name="Mai 8-15" dataDxfId="107" totalsRowDxfId="106"/>
    <tableColumn id="11" xr3:uid="{E22DF93B-463F-440C-AA1D-061FB8CB1788}" name="Mai 16-23" dataDxfId="105" totalsRowDxfId="104"/>
    <tableColumn id="21" xr3:uid="{65028CCE-9338-4287-A638-325038A8738B}" name="Mai 24-31" dataDxfId="103" totalsRowDxfId="102"/>
    <tableColumn id="3" xr3:uid="{638DA967-90B5-4640-8296-BF2A82ECA5BD}" name="Juin 1-7" dataDxfId="101" totalsRowDxfId="100"/>
    <tableColumn id="22" xr3:uid="{980F138B-0A01-4DA1-A3B7-F8A36B77533F}" name="Juin 8-15" dataDxfId="99" totalsRowDxfId="98"/>
    <tableColumn id="12" xr3:uid="{B83C0964-76F4-42F3-9834-33D3CB6C8347}" name="Juin 16-23" dataDxfId="97" totalsRowDxfId="96"/>
    <tableColumn id="23" xr3:uid="{2C6D12D1-A9BC-4385-8608-D6AC7C7AA5CD}" name="Juin 24-30" dataDxfId="95" totalsRowDxfId="94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532B229-3A6C-4B1C-B9B6-843FD15DDB28}" name="Tableau1381112" displayName="Tableau1381112" ref="C92:J122" totalsRowShown="0" dataDxfId="93" totalsRowDxfId="92" totalsRowBorderDxfId="91">
  <autoFilter ref="C92:J122" xr:uid="{466C14A4-563F-4C36-97E2-74174DC4EBC6}"/>
  <tableColumns count="8">
    <tableColumn id="1" xr3:uid="{384F9924-9C50-41D7-BF2B-B6A61B22B75E}" name="Juillet 1-7" dataDxfId="90" totalsRowDxfId="89"/>
    <tableColumn id="9" xr3:uid="{C142E9A9-CBFD-488C-AA92-835E13668097}" name="Juillet 8-15" dataDxfId="88" totalsRowDxfId="87"/>
    <tableColumn id="10" xr3:uid="{8E30A247-5D91-4C3B-8CE5-E651A2934118}" name="Juillet 16-23" dataDxfId="86" totalsRowDxfId="85"/>
    <tableColumn id="19" xr3:uid="{9D389E14-AAD8-4DCB-B700-E4F3C9083455}" name="Juillet 24-31" dataDxfId="84" totalsRowDxfId="83"/>
    <tableColumn id="2" xr3:uid="{2163346F-817C-4EED-A942-B3C02B334E60}" name="Aout 1-7" dataDxfId="82" totalsRowDxfId="81"/>
    <tableColumn id="20" xr3:uid="{FE90F9CE-EC1F-4D4C-8619-71FD3931AFEB}" name="Aout 8-15" dataDxfId="80" totalsRowDxfId="79"/>
    <tableColumn id="11" xr3:uid="{2BDBF1BD-FE0A-45A6-8FD9-1696A624877D}" name="Aout 16-23" dataDxfId="78" totalsRowDxfId="77"/>
    <tableColumn id="21" xr3:uid="{0F960060-8193-40B2-8211-9D9D5222FF7A}" name="Aout 24-31" dataDxfId="76" totalsRowDxfId="75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0B06C6B-3B34-4DA1-A360-20A8CA7D8C98}" name="Tableau14" displayName="Tableau14" ref="K92:N104" totalsRowShown="0" headerRowDxfId="74">
  <autoFilter ref="K92:N104" xr:uid="{6499C1C1-663B-45B6-9E4E-753C5DF01C7A}"/>
  <tableColumns count="4">
    <tableColumn id="1" xr3:uid="{5E465DD0-6954-497C-978B-D07EFD840073}" name="Septembre 1-7" dataDxfId="73"/>
    <tableColumn id="2" xr3:uid="{EA2A2252-386B-4735-8BEF-94B3ABB46102}" name="Septembre 8-15" dataDxfId="72"/>
    <tableColumn id="3" xr3:uid="{8FF2497B-4049-45C2-B23D-0BF2ABD872FB}" name="Septembre 16-23" dataDxfId="71"/>
    <tableColumn id="4" xr3:uid="{922BBB1D-7BCC-4516-834B-09A5474C3B1F}" name="Septembre 24-30" dataDxfId="70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B89E2B8-7FCE-4145-9BED-81FA48476D47}" name="Tableau138111217" displayName="Tableau138111217" ref="C125:J155" totalsRowShown="0" dataDxfId="69" totalsRowDxfId="68" totalsRowBorderDxfId="67">
  <autoFilter ref="C125:J155" xr:uid="{5042F6FA-5DD5-4FEA-86C1-A93F7C9C68C7}"/>
  <tableColumns count="8">
    <tableColumn id="1" xr3:uid="{184A4B8F-0DA9-4456-813D-6C4F5B52EAC9}" name="Octobre 1-7" dataDxfId="66" totalsRowDxfId="65"/>
    <tableColumn id="9" xr3:uid="{791E8437-2F67-4672-BC26-0467DB6325B5}" name="Octobre 8-15" dataDxfId="64" totalsRowDxfId="63"/>
    <tableColumn id="10" xr3:uid="{7BD3A439-D5AC-4F47-A4F0-2900678EABFF}" name="Octobre 16-23" dataDxfId="62" totalsRowDxfId="61"/>
    <tableColumn id="19" xr3:uid="{2DCCF444-DC39-4DED-873E-CB0F8D54092D}" name="Octobre 24-30" dataDxfId="60" totalsRowDxfId="59"/>
    <tableColumn id="2" xr3:uid="{05B320F3-C7C5-409B-8466-9E64F8D8B68E}" name="Novembre 1-7" dataDxfId="58" totalsRowDxfId="57"/>
    <tableColumn id="20" xr3:uid="{D95ABD5B-977E-4B20-AC76-D0D7DDBD775C}" name="Novembre 8-15" dataDxfId="56" totalsRowDxfId="55"/>
    <tableColumn id="11" xr3:uid="{4C22F37E-DFE4-43E2-9698-C1F22156BDA1}" name="Novembre 16-23" dataDxfId="54" totalsRowDxfId="53"/>
    <tableColumn id="21" xr3:uid="{67CE1607-4D6D-45AF-ACE5-033F27A52EC1}" name="Novembre 24-30" dataDxfId="52" totalsRowDxfId="51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AEE3A1-FEA9-44AD-BEAE-458CEB17025F}" name="Tableau1418" displayName="Tableau1418" ref="K125:S137" totalsRowShown="0" headerRowDxfId="50">
  <autoFilter ref="K125:S137" xr:uid="{1378618F-4F44-4E8F-8360-FE2699FC9790}"/>
  <tableColumns count="9">
    <tableColumn id="1" xr3:uid="{E270B5B4-15B8-4377-80B1-5EE9FCEA4DE6}" name="Decembre 1-7" dataDxfId="49"/>
    <tableColumn id="2" xr3:uid="{9E7FD2E0-2FD2-4412-9D90-1F5B23A08A86}" name="Decembre 8-15" dataDxfId="48"/>
    <tableColumn id="3" xr3:uid="{99AE49F3-41ED-4F56-B295-250AF3764368}" name="Decembre 16-23" dataDxfId="47"/>
    <tableColumn id="4" xr3:uid="{AC950598-8B17-47A6-8820-AB691874C9B6}" name="Decembre 24-30" dataDxfId="46"/>
    <tableColumn id="6" xr3:uid="{17576730-C9BB-4DE2-9162-A3B8E6352A3A}" name="Janvier 1-7" dataDxfId="45"/>
    <tableColumn id="9" xr3:uid="{83761B09-1DEA-4265-9946-66AEEF21E55E}" name="Janvier 8-15" dataDxfId="44"/>
    <tableColumn id="8" xr3:uid="{0DBFFE2A-4400-41E8-B0D2-EEC5EEFF9583}" name="Janvier 16-23" dataDxfId="43"/>
    <tableColumn id="7" xr3:uid="{5D711004-D7AD-4EB9-85C8-C8C6297EC8F6}" name="Janvier 24-31" dataDxfId="42"/>
    <tableColumn id="5" xr3:uid="{1F70CC70-E668-47AF-AD10-9BB745FF51C9}" name="TOTAL" dataDxfId="4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1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10" Type="http://schemas.openxmlformats.org/officeDocument/2006/relationships/comments" Target="../comments1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CD38-5443-44CC-8C0D-44D2703700F4}">
  <dimension ref="A19:X93"/>
  <sheetViews>
    <sheetView topLeftCell="A16" zoomScale="80" zoomScaleNormal="80" workbookViewId="0">
      <selection activeCell="C22" sqref="C22"/>
    </sheetView>
  </sheetViews>
  <sheetFormatPr defaultColWidth="11.42578125" defaultRowHeight="15" x14ac:dyDescent="0.25"/>
  <cols>
    <col min="1" max="1" width="12.5703125" customWidth="1"/>
    <col min="2" max="2" width="21.140625" customWidth="1"/>
    <col min="3" max="3" width="20.42578125" customWidth="1"/>
    <col min="4" max="4" width="22.28515625" customWidth="1"/>
    <col min="5" max="5" width="27.140625" customWidth="1"/>
    <col min="6" max="6" width="32.140625" customWidth="1"/>
    <col min="7" max="7" width="22.7109375" customWidth="1"/>
    <col min="8" max="8" width="18.42578125" customWidth="1"/>
    <col min="9" max="9" width="19.7109375" customWidth="1"/>
    <col min="10" max="10" width="20.28515625" customWidth="1"/>
    <col min="11" max="11" width="20.140625" customWidth="1"/>
    <col min="12" max="12" width="19.140625" customWidth="1"/>
    <col min="13" max="13" width="24.85546875" customWidth="1"/>
    <col min="14" max="14" width="22.28515625" customWidth="1"/>
    <col min="15" max="15" width="24.7109375" customWidth="1"/>
    <col min="16" max="17" width="21.42578125" customWidth="1"/>
    <col min="18" max="18" width="26" customWidth="1"/>
    <col min="19" max="19" width="13.85546875" customWidth="1"/>
    <col min="20" max="23" width="13.42578125" customWidth="1"/>
    <col min="24" max="24" width="17" customWidth="1"/>
  </cols>
  <sheetData>
    <row r="19" spans="1:14" x14ac:dyDescent="0.25">
      <c r="C19" s="54" t="s">
        <v>124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1:14" x14ac:dyDescent="0.25"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</row>
    <row r="21" spans="1:14" x14ac:dyDescent="0.25"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</row>
    <row r="25" spans="1:14" ht="29.25" customHeight="1" x14ac:dyDescent="0.25">
      <c r="A25" s="43" t="s">
        <v>0</v>
      </c>
      <c r="B25" s="44"/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</row>
    <row r="26" spans="1:14" x14ac:dyDescent="0.25">
      <c r="A26" s="45" t="s">
        <v>13</v>
      </c>
      <c r="B26" s="1" t="s">
        <v>14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46"/>
      <c r="B27" s="1" t="s">
        <v>15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46"/>
      <c r="B28" s="1" t="s">
        <v>16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46"/>
      <c r="B29" s="1" t="s">
        <v>17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47"/>
      <c r="B30" s="1" t="s">
        <v>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48" t="s">
        <v>19</v>
      </c>
      <c r="B31" s="48"/>
      <c r="C31" s="3">
        <f>SUM(C26:C30)</f>
        <v>0</v>
      </c>
      <c r="D31" s="3">
        <f t="shared" ref="D31:N31" si="0">SUM(D26:D30)</f>
        <v>0</v>
      </c>
      <c r="E31" s="3">
        <f t="shared" si="0"/>
        <v>0</v>
      </c>
      <c r="F31" s="3">
        <f t="shared" si="0"/>
        <v>0</v>
      </c>
      <c r="G31" s="3">
        <f t="shared" si="0"/>
        <v>0</v>
      </c>
      <c r="H31" s="3">
        <f t="shared" si="0"/>
        <v>0</v>
      </c>
      <c r="I31" s="3">
        <f t="shared" si="0"/>
        <v>0</v>
      </c>
      <c r="J31" s="3">
        <f t="shared" si="0"/>
        <v>0</v>
      </c>
      <c r="K31" s="3">
        <f t="shared" si="0"/>
        <v>0</v>
      </c>
      <c r="L31" s="3">
        <f t="shared" si="0"/>
        <v>0</v>
      </c>
      <c r="M31" s="3">
        <f t="shared" si="0"/>
        <v>0</v>
      </c>
      <c r="N31" s="3">
        <f t="shared" si="0"/>
        <v>0</v>
      </c>
    </row>
    <row r="32" spans="1:14" x14ac:dyDescent="0.25">
      <c r="A32" s="45" t="s">
        <v>20</v>
      </c>
      <c r="B32" s="4" t="s">
        <v>21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24" x14ac:dyDescent="0.25">
      <c r="A33" s="46"/>
      <c r="B33" s="4" t="s">
        <v>22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24" x14ac:dyDescent="0.25">
      <c r="A34" s="46"/>
      <c r="B34" s="4" t="s">
        <v>23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24" x14ac:dyDescent="0.25">
      <c r="A35" s="46"/>
      <c r="B35" s="7" t="s">
        <v>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24" x14ac:dyDescent="0.25">
      <c r="A36" s="47"/>
      <c r="B36" s="7" t="s">
        <v>25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24" x14ac:dyDescent="0.25">
      <c r="A37" s="48" t="s">
        <v>26</v>
      </c>
      <c r="B37" s="48"/>
      <c r="C37" s="8">
        <f>SUM(C32:C36)</f>
        <v>0</v>
      </c>
      <c r="D37" s="8">
        <f t="shared" ref="D37:M37" si="1">SUM(D32:D36)</f>
        <v>0</v>
      </c>
      <c r="E37" s="8">
        <f t="shared" si="1"/>
        <v>0</v>
      </c>
      <c r="F37" s="8">
        <f t="shared" si="1"/>
        <v>0</v>
      </c>
      <c r="G37" s="8">
        <f t="shared" si="1"/>
        <v>0</v>
      </c>
      <c r="H37" s="8">
        <f t="shared" si="1"/>
        <v>0</v>
      </c>
      <c r="I37" s="8">
        <f t="shared" si="1"/>
        <v>0</v>
      </c>
      <c r="J37" s="8">
        <f>SUM(J32:J36)</f>
        <v>0</v>
      </c>
      <c r="K37" s="8">
        <f t="shared" si="1"/>
        <v>0</v>
      </c>
      <c r="L37" s="8">
        <f t="shared" si="1"/>
        <v>0</v>
      </c>
      <c r="M37" s="8">
        <f t="shared" si="1"/>
        <v>0</v>
      </c>
      <c r="N37" s="8">
        <f>SUM(N32:N36)</f>
        <v>0</v>
      </c>
    </row>
    <row r="38" spans="1:24" x14ac:dyDescent="0.25">
      <c r="A38" s="49" t="s">
        <v>27</v>
      </c>
      <c r="B38" s="49"/>
      <c r="C38" s="9">
        <f>C31+C37</f>
        <v>0</v>
      </c>
      <c r="D38" s="9">
        <f t="shared" ref="D38:M38" si="2">D31+D37</f>
        <v>0</v>
      </c>
      <c r="E38" s="9">
        <f t="shared" si="2"/>
        <v>0</v>
      </c>
      <c r="F38" s="9">
        <f t="shared" si="2"/>
        <v>0</v>
      </c>
      <c r="G38" s="9">
        <f t="shared" si="2"/>
        <v>0</v>
      </c>
      <c r="H38" s="9">
        <f t="shared" si="2"/>
        <v>0</v>
      </c>
      <c r="I38" s="9">
        <f t="shared" si="2"/>
        <v>0</v>
      </c>
      <c r="J38" s="9">
        <f t="shared" si="2"/>
        <v>0</v>
      </c>
      <c r="K38" s="9">
        <f t="shared" si="2"/>
        <v>0</v>
      </c>
      <c r="L38" s="9">
        <f t="shared" si="2"/>
        <v>0</v>
      </c>
      <c r="M38" s="9">
        <f t="shared" si="2"/>
        <v>0</v>
      </c>
      <c r="N38" s="9">
        <f>N31+N37</f>
        <v>0</v>
      </c>
    </row>
    <row r="39" spans="1:24" x14ac:dyDescent="0.25">
      <c r="A39" s="50" t="s">
        <v>28</v>
      </c>
      <c r="B39" s="50"/>
      <c r="C39" s="51">
        <f>C38+D38+E38+F38</f>
        <v>0</v>
      </c>
      <c r="D39" s="52"/>
      <c r="E39" s="52"/>
      <c r="F39" s="53"/>
      <c r="G39" s="51">
        <f>G38+H38+I38+J38</f>
        <v>0</v>
      </c>
      <c r="H39" s="52"/>
      <c r="I39" s="52"/>
      <c r="J39" s="53"/>
      <c r="K39" s="51">
        <f>K38+L38+M38+N38</f>
        <v>0</v>
      </c>
      <c r="L39" s="52"/>
      <c r="M39" s="52"/>
      <c r="N39" s="53"/>
      <c r="X39" t="s">
        <v>29</v>
      </c>
    </row>
    <row r="40" spans="1:24" x14ac:dyDescent="0.25">
      <c r="A40" t="s">
        <v>30</v>
      </c>
      <c r="C40" t="s">
        <v>31</v>
      </c>
      <c r="D40" t="s">
        <v>31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P40" t="s">
        <v>31</v>
      </c>
      <c r="X40" t="s">
        <v>32</v>
      </c>
    </row>
    <row r="41" spans="1:24" x14ac:dyDescent="0.25">
      <c r="B41" t="s">
        <v>33</v>
      </c>
    </row>
    <row r="43" spans="1:24" ht="27.75" customHeight="1" x14ac:dyDescent="0.25">
      <c r="A43" s="43" t="s">
        <v>0</v>
      </c>
      <c r="B43" s="44"/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43</v>
      </c>
      <c r="M43" t="s">
        <v>44</v>
      </c>
      <c r="N43" t="s">
        <v>45</v>
      </c>
      <c r="R43" t="s">
        <v>46</v>
      </c>
    </row>
    <row r="44" spans="1:24" x14ac:dyDescent="0.25">
      <c r="A44" s="45" t="s">
        <v>13</v>
      </c>
      <c r="B44" s="1" t="s">
        <v>14</v>
      </c>
      <c r="C44" s="2"/>
      <c r="F44" s="2"/>
      <c r="G44" s="2"/>
      <c r="H44" s="2"/>
      <c r="I44" s="2"/>
      <c r="J44" s="2"/>
      <c r="K44" s="2"/>
      <c r="N44" s="2"/>
    </row>
    <row r="45" spans="1:24" x14ac:dyDescent="0.25">
      <c r="A45" s="46"/>
      <c r="B45" s="1" t="s">
        <v>15</v>
      </c>
      <c r="C45" s="2"/>
      <c r="E45" s="2"/>
      <c r="I45" s="2"/>
      <c r="J45" s="2"/>
      <c r="L45" s="2"/>
      <c r="M45" s="2"/>
      <c r="N45" s="2"/>
      <c r="P45" t="s">
        <v>46</v>
      </c>
    </row>
    <row r="46" spans="1:24" x14ac:dyDescent="0.25">
      <c r="A46" s="46"/>
      <c r="B46" s="1" t="s">
        <v>16</v>
      </c>
      <c r="C46" s="2"/>
      <c r="F46" s="2"/>
      <c r="J46" s="2"/>
      <c r="M46" s="2"/>
      <c r="N46" s="2"/>
    </row>
    <row r="47" spans="1:24" x14ac:dyDescent="0.25">
      <c r="A47" s="46"/>
      <c r="B47" s="1" t="s">
        <v>17</v>
      </c>
      <c r="C47" s="2"/>
      <c r="D47" s="2"/>
      <c r="E47" s="2"/>
      <c r="G47" s="2"/>
      <c r="H47" s="2"/>
      <c r="I47" s="2"/>
      <c r="K47" s="2"/>
      <c r="L47" s="2"/>
      <c r="M47" s="2"/>
    </row>
    <row r="48" spans="1:24" x14ac:dyDescent="0.25">
      <c r="A48" s="47"/>
      <c r="B48" s="1" t="s">
        <v>18</v>
      </c>
      <c r="C48" s="2"/>
    </row>
    <row r="49" spans="1:14" x14ac:dyDescent="0.25">
      <c r="A49" s="48" t="s">
        <v>19</v>
      </c>
      <c r="B49" s="48"/>
      <c r="C49" s="3">
        <f>SUM(C44:C48)</f>
        <v>0</v>
      </c>
      <c r="D49" s="3">
        <f t="shared" ref="D49:N49" si="3">SUM(D44:D48)</f>
        <v>0</v>
      </c>
      <c r="E49" s="3">
        <f t="shared" si="3"/>
        <v>0</v>
      </c>
      <c r="F49" s="3">
        <f t="shared" si="3"/>
        <v>0</v>
      </c>
      <c r="G49" s="3">
        <f t="shared" si="3"/>
        <v>0</v>
      </c>
      <c r="H49" s="3">
        <f t="shared" si="3"/>
        <v>0</v>
      </c>
      <c r="I49" s="3">
        <f t="shared" si="3"/>
        <v>0</v>
      </c>
      <c r="J49" s="3">
        <f t="shared" si="3"/>
        <v>0</v>
      </c>
      <c r="K49" s="3">
        <f t="shared" si="3"/>
        <v>0</v>
      </c>
      <c r="L49" s="3">
        <f t="shared" si="3"/>
        <v>0</v>
      </c>
      <c r="M49" s="3">
        <f t="shared" si="3"/>
        <v>0</v>
      </c>
      <c r="N49" s="3">
        <f t="shared" si="3"/>
        <v>0</v>
      </c>
    </row>
    <row r="50" spans="1:14" x14ac:dyDescent="0.25">
      <c r="A50" s="45" t="s">
        <v>20</v>
      </c>
      <c r="B50" s="4" t="s">
        <v>21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x14ac:dyDescent="0.25">
      <c r="A51" s="46"/>
      <c r="B51" s="4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46"/>
      <c r="B52" s="4" t="s">
        <v>23</v>
      </c>
      <c r="C52" s="2"/>
      <c r="N52" s="10"/>
    </row>
    <row r="53" spans="1:14" x14ac:dyDescent="0.25">
      <c r="A53" s="46"/>
      <c r="B53" s="7" t="s">
        <v>24</v>
      </c>
      <c r="C53" s="2"/>
      <c r="F53" s="2"/>
      <c r="G53" s="2"/>
      <c r="J53" s="2"/>
    </row>
    <row r="54" spans="1:14" x14ac:dyDescent="0.25">
      <c r="A54" s="47"/>
      <c r="B54" s="7" t="s">
        <v>25</v>
      </c>
      <c r="C54" s="2"/>
      <c r="D54" s="2"/>
      <c r="E54" s="2"/>
      <c r="F54" s="2"/>
      <c r="G54" s="2"/>
      <c r="H54" s="2"/>
      <c r="I54" s="2"/>
      <c r="J54" s="2"/>
      <c r="M54" s="2"/>
      <c r="N54" s="2"/>
    </row>
    <row r="55" spans="1:14" x14ac:dyDescent="0.25">
      <c r="A55" s="48" t="s">
        <v>26</v>
      </c>
      <c r="B55" s="48"/>
      <c r="C55" s="3">
        <f>SUM(C50:C54)</f>
        <v>0</v>
      </c>
      <c r="D55" s="3">
        <f t="shared" ref="D55:N55" si="4">SUM(D50:D54)</f>
        <v>0</v>
      </c>
      <c r="E55" s="3">
        <f>SUM(E50:E54)</f>
        <v>0</v>
      </c>
      <c r="F55" s="3">
        <f>SUM(F50:F54)</f>
        <v>0</v>
      </c>
      <c r="G55" s="3">
        <f>SUM(G50:G54)</f>
        <v>0</v>
      </c>
      <c r="H55" s="3">
        <f>SUM(H50:H54)</f>
        <v>0</v>
      </c>
      <c r="I55" s="3">
        <f t="shared" si="4"/>
        <v>0</v>
      </c>
      <c r="J55" s="3">
        <f>SUM(J50:J54)</f>
        <v>0</v>
      </c>
      <c r="K55" s="3">
        <f t="shared" si="4"/>
        <v>0</v>
      </c>
      <c r="L55" s="3">
        <f t="shared" si="4"/>
        <v>0</v>
      </c>
      <c r="M55" s="3">
        <f t="shared" si="4"/>
        <v>0</v>
      </c>
      <c r="N55" s="3">
        <f t="shared" si="4"/>
        <v>0</v>
      </c>
    </row>
    <row r="56" spans="1:14" x14ac:dyDescent="0.25">
      <c r="A56" s="49" t="s">
        <v>27</v>
      </c>
      <c r="B56" s="49"/>
      <c r="C56" s="9">
        <f>C49+C55</f>
        <v>0</v>
      </c>
      <c r="D56" s="9">
        <f t="shared" ref="D56:N56" si="5">D49+D55</f>
        <v>0</v>
      </c>
      <c r="E56" s="9">
        <f t="shared" si="5"/>
        <v>0</v>
      </c>
      <c r="F56" s="9">
        <f t="shared" si="5"/>
        <v>0</v>
      </c>
      <c r="G56" s="9">
        <f t="shared" si="5"/>
        <v>0</v>
      </c>
      <c r="H56" s="9">
        <f t="shared" si="5"/>
        <v>0</v>
      </c>
      <c r="I56" s="9">
        <f t="shared" si="5"/>
        <v>0</v>
      </c>
      <c r="J56" s="9">
        <f t="shared" si="5"/>
        <v>0</v>
      </c>
      <c r="K56" s="9">
        <f t="shared" si="5"/>
        <v>0</v>
      </c>
      <c r="L56" s="9">
        <f t="shared" si="5"/>
        <v>0</v>
      </c>
      <c r="M56" s="9">
        <f t="shared" si="5"/>
        <v>0</v>
      </c>
      <c r="N56" s="9">
        <f t="shared" si="5"/>
        <v>0</v>
      </c>
    </row>
    <row r="57" spans="1:14" x14ac:dyDescent="0.25">
      <c r="A57" s="50" t="s">
        <v>28</v>
      </c>
      <c r="B57" s="50"/>
      <c r="C57" s="51">
        <f>C56+D56+E56+F56</f>
        <v>0</v>
      </c>
      <c r="D57" s="52"/>
      <c r="E57" s="52"/>
      <c r="F57" s="53"/>
      <c r="G57" s="51">
        <f>G56+H56+I56+J56</f>
        <v>0</v>
      </c>
      <c r="H57" s="52"/>
      <c r="I57" s="52"/>
      <c r="J57" s="53"/>
      <c r="K57" s="51">
        <f>K56+L56+M56+N56</f>
        <v>0</v>
      </c>
      <c r="L57" s="52"/>
      <c r="M57" s="52"/>
      <c r="N57" s="53"/>
    </row>
    <row r="58" spans="1:14" x14ac:dyDescent="0.25">
      <c r="M58" s="2"/>
    </row>
    <row r="61" spans="1:14" ht="24.75" customHeight="1" x14ac:dyDescent="0.25">
      <c r="A61" s="43" t="s">
        <v>0</v>
      </c>
      <c r="B61" s="44"/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55</v>
      </c>
      <c r="L61" t="s">
        <v>56</v>
      </c>
      <c r="M61" t="s">
        <v>57</v>
      </c>
      <c r="N61" t="s">
        <v>58</v>
      </c>
    </row>
    <row r="62" spans="1:14" x14ac:dyDescent="0.25">
      <c r="A62" s="45" t="s">
        <v>13</v>
      </c>
      <c r="B62" s="1" t="s">
        <v>14</v>
      </c>
      <c r="C62" s="2"/>
      <c r="D62" s="2"/>
      <c r="F62" s="2"/>
      <c r="G62" s="2"/>
      <c r="H62" s="2"/>
      <c r="I62" s="2"/>
      <c r="L62" s="2"/>
    </row>
    <row r="63" spans="1:14" x14ac:dyDescent="0.25">
      <c r="A63" s="46"/>
      <c r="B63" s="1" t="s">
        <v>15</v>
      </c>
      <c r="C63" s="2"/>
      <c r="G63" s="2"/>
      <c r="I63" s="2"/>
    </row>
    <row r="64" spans="1:14" x14ac:dyDescent="0.25">
      <c r="A64" s="46"/>
      <c r="B64" s="1" t="s">
        <v>16</v>
      </c>
      <c r="C64" s="2"/>
      <c r="F64" s="2"/>
      <c r="H64" s="2"/>
      <c r="I64" s="2"/>
      <c r="J64" s="2"/>
      <c r="L64" s="2"/>
    </row>
    <row r="65" spans="1:18" x14ac:dyDescent="0.25">
      <c r="A65" s="46"/>
      <c r="B65" s="1" t="s">
        <v>17</v>
      </c>
      <c r="C65" s="2"/>
      <c r="D65" s="2"/>
      <c r="E65" s="2"/>
      <c r="H65" s="2"/>
      <c r="I65" s="2"/>
    </row>
    <row r="66" spans="1:18" x14ac:dyDescent="0.25">
      <c r="A66" s="47"/>
      <c r="B66" s="1" t="s">
        <v>18</v>
      </c>
      <c r="C66" s="2"/>
    </row>
    <row r="67" spans="1:18" x14ac:dyDescent="0.25">
      <c r="A67" s="48" t="s">
        <v>19</v>
      </c>
      <c r="B67" s="48"/>
      <c r="C67" s="3">
        <f t="shared" ref="C67:N67" si="6">SUM(C62:C66)</f>
        <v>0</v>
      </c>
      <c r="D67" s="3">
        <f t="shared" si="6"/>
        <v>0</v>
      </c>
      <c r="E67" s="3">
        <f t="shared" si="6"/>
        <v>0</v>
      </c>
      <c r="F67" s="3">
        <f t="shared" si="6"/>
        <v>0</v>
      </c>
      <c r="G67" s="3">
        <f t="shared" si="6"/>
        <v>0</v>
      </c>
      <c r="H67" s="3">
        <f t="shared" si="6"/>
        <v>0</v>
      </c>
      <c r="I67" s="3">
        <f t="shared" si="6"/>
        <v>0</v>
      </c>
      <c r="J67" s="3">
        <f t="shared" si="6"/>
        <v>0</v>
      </c>
      <c r="K67" s="3">
        <f t="shared" si="6"/>
        <v>0</v>
      </c>
      <c r="L67" s="3">
        <f t="shared" si="6"/>
        <v>0</v>
      </c>
      <c r="M67" s="3">
        <f t="shared" si="6"/>
        <v>0</v>
      </c>
      <c r="N67" s="3">
        <f t="shared" si="6"/>
        <v>0</v>
      </c>
    </row>
    <row r="68" spans="1:18" x14ac:dyDescent="0.25">
      <c r="A68" s="45" t="s">
        <v>20</v>
      </c>
      <c r="B68" s="4" t="s">
        <v>21</v>
      </c>
      <c r="C68" s="5"/>
      <c r="D68" s="5"/>
      <c r="E68" s="5"/>
      <c r="F68" s="5"/>
      <c r="G68" s="5"/>
      <c r="H68" s="5"/>
      <c r="I68" s="5"/>
      <c r="J68" s="5"/>
      <c r="L68" s="2"/>
    </row>
    <row r="69" spans="1:18" x14ac:dyDescent="0.25">
      <c r="A69" s="46"/>
      <c r="B69" s="4" t="s">
        <v>22</v>
      </c>
      <c r="C69" s="6"/>
      <c r="D69" s="6"/>
      <c r="E69" s="6"/>
      <c r="F69" s="6"/>
      <c r="G69" s="6"/>
      <c r="H69" s="6"/>
      <c r="I69" s="6"/>
      <c r="J69" s="6"/>
      <c r="L69" s="2"/>
    </row>
    <row r="70" spans="1:18" x14ac:dyDescent="0.25">
      <c r="A70" s="46"/>
      <c r="B70" s="4" t="s">
        <v>23</v>
      </c>
      <c r="C70" s="2"/>
    </row>
    <row r="71" spans="1:18" x14ac:dyDescent="0.25">
      <c r="A71" s="46"/>
      <c r="B71" s="7" t="s">
        <v>24</v>
      </c>
      <c r="C71" s="2"/>
      <c r="L71" s="2"/>
    </row>
    <row r="72" spans="1:18" x14ac:dyDescent="0.25">
      <c r="A72" s="47"/>
      <c r="B72" s="7" t="s">
        <v>25</v>
      </c>
      <c r="C72" s="2"/>
      <c r="F72" s="2"/>
      <c r="H72" s="2"/>
    </row>
    <row r="73" spans="1:18" x14ac:dyDescent="0.25">
      <c r="A73" s="48" t="s">
        <v>26</v>
      </c>
      <c r="B73" s="48"/>
      <c r="C73" s="3">
        <f t="shared" ref="C73:N73" si="7">SUM(C68:C72)</f>
        <v>0</v>
      </c>
      <c r="D73" s="3">
        <f t="shared" si="7"/>
        <v>0</v>
      </c>
      <c r="E73" s="3">
        <f t="shared" si="7"/>
        <v>0</v>
      </c>
      <c r="F73" s="3">
        <f t="shared" si="7"/>
        <v>0</v>
      </c>
      <c r="G73" s="3">
        <f t="shared" si="7"/>
        <v>0</v>
      </c>
      <c r="H73" s="3">
        <f t="shared" si="7"/>
        <v>0</v>
      </c>
      <c r="I73" s="3">
        <f t="shared" si="7"/>
        <v>0</v>
      </c>
      <c r="J73" s="3">
        <f t="shared" si="7"/>
        <v>0</v>
      </c>
      <c r="K73" s="3">
        <f t="shared" si="7"/>
        <v>0</v>
      </c>
      <c r="L73" s="3">
        <f t="shared" si="7"/>
        <v>0</v>
      </c>
      <c r="M73" s="3">
        <f t="shared" si="7"/>
        <v>0</v>
      </c>
      <c r="N73" s="3">
        <f t="shared" si="7"/>
        <v>0</v>
      </c>
    </row>
    <row r="74" spans="1:18" x14ac:dyDescent="0.25">
      <c r="A74" s="49" t="s">
        <v>27</v>
      </c>
      <c r="B74" s="49"/>
      <c r="C74" s="9">
        <f>C67+C73</f>
        <v>0</v>
      </c>
      <c r="D74" s="9">
        <f t="shared" ref="D74:N74" si="8">D67+D73</f>
        <v>0</v>
      </c>
      <c r="E74" s="9">
        <f t="shared" si="8"/>
        <v>0</v>
      </c>
      <c r="F74" s="9">
        <f t="shared" si="8"/>
        <v>0</v>
      </c>
      <c r="G74" s="9">
        <f t="shared" si="8"/>
        <v>0</v>
      </c>
      <c r="H74" s="9">
        <f t="shared" si="8"/>
        <v>0</v>
      </c>
      <c r="I74" s="9">
        <f t="shared" si="8"/>
        <v>0</v>
      </c>
      <c r="J74" s="9">
        <f t="shared" si="8"/>
        <v>0</v>
      </c>
      <c r="K74" s="9">
        <f t="shared" si="8"/>
        <v>0</v>
      </c>
      <c r="L74" s="9">
        <f t="shared" si="8"/>
        <v>0</v>
      </c>
      <c r="M74" s="9">
        <f t="shared" si="8"/>
        <v>0</v>
      </c>
      <c r="N74" s="9">
        <f t="shared" si="8"/>
        <v>0</v>
      </c>
    </row>
    <row r="75" spans="1:18" x14ac:dyDescent="0.25">
      <c r="A75" s="50" t="s">
        <v>28</v>
      </c>
      <c r="B75" s="50"/>
      <c r="C75" s="42">
        <f>C74+D74+E74+F74</f>
        <v>0</v>
      </c>
      <c r="D75" s="42"/>
      <c r="E75" s="42"/>
      <c r="F75" s="42"/>
      <c r="G75" s="42">
        <f>G74+H74+I74+J74</f>
        <v>0</v>
      </c>
      <c r="H75" s="42"/>
      <c r="I75" s="42"/>
      <c r="J75" s="42"/>
      <c r="K75" s="42">
        <f>K74+L74+M74+N74</f>
        <v>0</v>
      </c>
      <c r="L75" s="42"/>
      <c r="M75" s="42"/>
      <c r="N75" s="42"/>
    </row>
    <row r="76" spans="1:18" x14ac:dyDescent="0.25">
      <c r="K76" s="2"/>
    </row>
    <row r="77" spans="1:18" x14ac:dyDescent="0.25">
      <c r="F77" s="2"/>
      <c r="G77" s="2"/>
      <c r="K77" s="2"/>
    </row>
    <row r="78" spans="1:18" x14ac:dyDescent="0.25">
      <c r="K78" t="s">
        <v>30</v>
      </c>
    </row>
    <row r="79" spans="1:18" ht="23.25" customHeight="1" x14ac:dyDescent="0.25">
      <c r="A79" s="43" t="s">
        <v>0</v>
      </c>
      <c r="B79" s="44"/>
      <c r="C79" t="s">
        <v>59</v>
      </c>
      <c r="D79" t="s">
        <v>60</v>
      </c>
      <c r="E79" t="s">
        <v>61</v>
      </c>
      <c r="F79" t="s">
        <v>62</v>
      </c>
      <c r="G79" t="s">
        <v>63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 t="s">
        <v>69</v>
      </c>
      <c r="N79" t="s">
        <v>70</v>
      </c>
      <c r="O79" t="s">
        <v>71</v>
      </c>
      <c r="P79" t="s">
        <v>72</v>
      </c>
      <c r="Q79" t="s">
        <v>73</v>
      </c>
      <c r="R79" t="s">
        <v>74</v>
      </c>
    </row>
    <row r="80" spans="1:18" ht="20.25" customHeight="1" x14ac:dyDescent="0.25">
      <c r="A80" s="45" t="s">
        <v>13</v>
      </c>
      <c r="B80" s="1" t="s">
        <v>14</v>
      </c>
      <c r="C80" s="2"/>
      <c r="D80" s="2"/>
      <c r="F80" s="2"/>
      <c r="G80" s="2"/>
      <c r="H80" s="2"/>
      <c r="R80" s="2">
        <f>SUM(C26:N26,C44:N44,C62:N62,Tableau413[[#This Row],[Octobre 1-7]:[janvier 24-31-21]])</f>
        <v>0</v>
      </c>
    </row>
    <row r="81" spans="1:18" ht="19.5" customHeight="1" x14ac:dyDescent="0.25">
      <c r="A81" s="46"/>
      <c r="B81" s="1" t="s">
        <v>15</v>
      </c>
      <c r="C81" s="2"/>
      <c r="F81" s="2"/>
      <c r="I81" s="2"/>
      <c r="R81" s="2">
        <f>SUM(C27:N27,C45:N45,C63:N63,Tableau413[[#This Row],[Octobre 1-7]:[janvier 24-31-21]])</f>
        <v>0</v>
      </c>
    </row>
    <row r="82" spans="1:18" ht="17.25" customHeight="1" x14ac:dyDescent="0.25">
      <c r="A82" s="46"/>
      <c r="B82" s="1" t="s">
        <v>16</v>
      </c>
      <c r="C82" s="2"/>
      <c r="F82" s="2"/>
      <c r="H82" s="2"/>
      <c r="J82" s="2"/>
      <c r="R82" s="2">
        <f>SUM(C28:N28,C46:N46,C64:N64,Tableau413[[#This Row],[Octobre 1-7]:[janvier 24-31-21]])</f>
        <v>0</v>
      </c>
    </row>
    <row r="83" spans="1:18" ht="15.75" customHeight="1" x14ac:dyDescent="0.25">
      <c r="A83" s="46"/>
      <c r="B83" s="1" t="s">
        <v>17</v>
      </c>
      <c r="C83" s="2"/>
      <c r="D83" s="2"/>
      <c r="E83" s="2"/>
      <c r="H83" s="2"/>
      <c r="I83" s="2"/>
      <c r="R83" s="2">
        <f>SUM(C29:N29,C47:N47,C65:N65,Tableau413[[#This Row],[Octobre 1-7]:[janvier 24-31-21]])</f>
        <v>0</v>
      </c>
    </row>
    <row r="84" spans="1:18" x14ac:dyDescent="0.25">
      <c r="A84" s="47"/>
      <c r="B84" s="1" t="s">
        <v>18</v>
      </c>
      <c r="C84" s="2"/>
      <c r="R84" s="2">
        <f>SUM(C30:N30,C48:N48,C66:N66,Tableau413[[#This Row],[Octobre 1-7]:[janvier 24-31-21]])</f>
        <v>0</v>
      </c>
    </row>
    <row r="85" spans="1:18" ht="15" customHeight="1" x14ac:dyDescent="0.25">
      <c r="A85" s="48" t="s">
        <v>19</v>
      </c>
      <c r="B85" s="4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>
        <f>SUM(C31:N31,C49:N49,C67:N67,Tableau413[[#This Row],[Octobre 1-7]:[janvier 24-31-21]])</f>
        <v>0</v>
      </c>
    </row>
    <row r="86" spans="1:18" x14ac:dyDescent="0.25">
      <c r="A86" s="45" t="s">
        <v>20</v>
      </c>
      <c r="B86" s="4" t="s">
        <v>21</v>
      </c>
      <c r="C86" s="5"/>
      <c r="D86" s="5"/>
      <c r="E86" s="5"/>
      <c r="F86" s="5"/>
      <c r="G86" s="5"/>
      <c r="H86" s="5"/>
      <c r="I86" s="5"/>
      <c r="J86" s="5"/>
      <c r="L86" s="2"/>
      <c r="R86" s="2">
        <f>SUM(C32:N32,C50:N50,C68:N68,Tableau413[[#This Row],[Octobre 1-7]:[janvier 24-31-21]])</f>
        <v>0</v>
      </c>
    </row>
    <row r="87" spans="1:18" x14ac:dyDescent="0.25">
      <c r="A87" s="46"/>
      <c r="B87" s="4" t="s">
        <v>22</v>
      </c>
      <c r="C87" s="6"/>
      <c r="D87" s="6"/>
      <c r="E87" s="6"/>
      <c r="F87" s="6"/>
      <c r="G87" s="6"/>
      <c r="H87" s="6"/>
      <c r="I87" s="6"/>
      <c r="J87" s="6"/>
      <c r="L87" s="2"/>
      <c r="N87" s="2"/>
      <c r="R87" s="2">
        <f>SUM(C33:N33,C51:N51,C69:N69,Tableau413[[#This Row],[Octobre 1-7]:[janvier 24-31-21]])</f>
        <v>0</v>
      </c>
    </row>
    <row r="88" spans="1:18" x14ac:dyDescent="0.25">
      <c r="A88" s="46"/>
      <c r="B88" s="4" t="s">
        <v>23</v>
      </c>
      <c r="C88" s="2"/>
      <c r="R88" s="2">
        <f>SUM(C34:N34,C52:N52,C70:N70,Tableau413[[#This Row],[Octobre 1-7]:[janvier 24-31-21]])</f>
        <v>0</v>
      </c>
    </row>
    <row r="89" spans="1:18" x14ac:dyDescent="0.25">
      <c r="A89" s="46"/>
      <c r="B89" s="7" t="s">
        <v>24</v>
      </c>
      <c r="C89" s="2"/>
      <c r="L89" s="2"/>
      <c r="R89" s="2">
        <f>SUM(C35:N35,C53:N53,C71:N71,Tableau413[[#This Row],[Octobre 1-7]:[janvier 24-31-21]])</f>
        <v>0</v>
      </c>
    </row>
    <row r="90" spans="1:18" x14ac:dyDescent="0.25">
      <c r="A90" s="47"/>
      <c r="B90" s="7" t="s">
        <v>25</v>
      </c>
      <c r="C90" s="2"/>
      <c r="F90" s="2"/>
      <c r="H90" s="2"/>
      <c r="R90" s="2">
        <f>SUM(C36:N36,F54:N54,C72:N72,Tableau413[[#This Row],[Octobre 1-7]:[janvier 24-31-21]])</f>
        <v>0</v>
      </c>
    </row>
    <row r="91" spans="1:18" x14ac:dyDescent="0.25">
      <c r="A91" s="48" t="s">
        <v>26</v>
      </c>
      <c r="B91" s="48"/>
      <c r="C91" s="3">
        <f>SUM(C86:C90)</f>
        <v>0</v>
      </c>
      <c r="D91" s="3">
        <f t="shared" ref="D91:Q91" si="9">SUM(D86:D90)</f>
        <v>0</v>
      </c>
      <c r="E91" s="3">
        <f t="shared" si="9"/>
        <v>0</v>
      </c>
      <c r="F91" s="3">
        <f t="shared" si="9"/>
        <v>0</v>
      </c>
      <c r="G91" s="3">
        <f t="shared" si="9"/>
        <v>0</v>
      </c>
      <c r="H91" s="3">
        <f t="shared" si="9"/>
        <v>0</v>
      </c>
      <c r="I91" s="3">
        <f t="shared" si="9"/>
        <v>0</v>
      </c>
      <c r="J91" s="3">
        <f t="shared" si="9"/>
        <v>0</v>
      </c>
      <c r="K91" s="3">
        <f t="shared" si="9"/>
        <v>0</v>
      </c>
      <c r="L91" s="3">
        <f t="shared" si="9"/>
        <v>0</v>
      </c>
      <c r="M91" s="3">
        <f t="shared" si="9"/>
        <v>0</v>
      </c>
      <c r="N91" s="3">
        <f t="shared" si="9"/>
        <v>0</v>
      </c>
      <c r="O91" s="3">
        <f t="shared" si="9"/>
        <v>0</v>
      </c>
      <c r="P91" s="3">
        <f t="shared" si="9"/>
        <v>0</v>
      </c>
      <c r="Q91" s="3">
        <f t="shared" si="9"/>
        <v>0</v>
      </c>
      <c r="R91" s="3">
        <f>SUM(C37:N37,C55:N55,C73:N73,Tableau413[[#This Row],[Octobre 1-7]:[janvier 24-31-21]])</f>
        <v>0</v>
      </c>
    </row>
    <row r="92" spans="1:18" x14ac:dyDescent="0.25">
      <c r="A92" s="49" t="s">
        <v>27</v>
      </c>
      <c r="B92" s="49"/>
      <c r="C92" s="9">
        <f>C85+C91</f>
        <v>0</v>
      </c>
      <c r="D92" s="9">
        <f t="shared" ref="D92:Q92" si="10">D85+D91</f>
        <v>0</v>
      </c>
      <c r="E92" s="9">
        <f t="shared" si="10"/>
        <v>0</v>
      </c>
      <c r="F92" s="9">
        <f t="shared" si="10"/>
        <v>0</v>
      </c>
      <c r="G92" s="9">
        <f t="shared" si="10"/>
        <v>0</v>
      </c>
      <c r="H92" s="9">
        <f t="shared" si="10"/>
        <v>0</v>
      </c>
      <c r="I92" s="9">
        <f t="shared" si="10"/>
        <v>0</v>
      </c>
      <c r="J92" s="9">
        <f t="shared" si="10"/>
        <v>0</v>
      </c>
      <c r="K92" s="9">
        <f t="shared" si="10"/>
        <v>0</v>
      </c>
      <c r="L92" s="9">
        <f t="shared" si="10"/>
        <v>0</v>
      </c>
      <c r="M92" s="9">
        <f t="shared" si="10"/>
        <v>0</v>
      </c>
      <c r="N92" s="9">
        <f t="shared" si="10"/>
        <v>0</v>
      </c>
      <c r="O92" s="9">
        <f t="shared" si="10"/>
        <v>0</v>
      </c>
      <c r="P92" s="9">
        <f t="shared" si="10"/>
        <v>0</v>
      </c>
      <c r="Q92" s="9">
        <f t="shared" si="10"/>
        <v>0</v>
      </c>
      <c r="R92" s="9">
        <f>SUM(C38:N38,C56:N56,C74:N74,Tableau413[[#This Row],[Octobre 1-7]:[janvier 24-31-21]])</f>
        <v>0</v>
      </c>
    </row>
    <row r="93" spans="1:18" x14ac:dyDescent="0.25">
      <c r="A93" s="50" t="s">
        <v>28</v>
      </c>
      <c r="B93" s="50"/>
      <c r="C93" s="42">
        <f>C92+D92+E92+F92</f>
        <v>0</v>
      </c>
      <c r="D93" s="42"/>
      <c r="E93" s="42"/>
      <c r="F93" s="42"/>
      <c r="G93" s="42">
        <f>G92+H92+I92+J92</f>
        <v>0</v>
      </c>
      <c r="H93" s="42"/>
      <c r="I93" s="42"/>
      <c r="J93" s="42"/>
      <c r="K93" s="42">
        <f>K92+L92+M92+N92</f>
        <v>0</v>
      </c>
      <c r="L93" s="42"/>
      <c r="M93" s="42"/>
      <c r="N93" s="42"/>
      <c r="O93" s="42"/>
      <c r="P93" s="42"/>
      <c r="Q93" s="42"/>
      <c r="R93" s="11">
        <f>R85+R91</f>
        <v>0</v>
      </c>
    </row>
  </sheetData>
  <mergeCells count="42">
    <mergeCell ref="A43:B43"/>
    <mergeCell ref="C19:M21"/>
    <mergeCell ref="A25:B25"/>
    <mergeCell ref="A26:A30"/>
    <mergeCell ref="A31:B31"/>
    <mergeCell ref="A32:A36"/>
    <mergeCell ref="A37:B37"/>
    <mergeCell ref="A38:B38"/>
    <mergeCell ref="A39:B39"/>
    <mergeCell ref="C39:F39"/>
    <mergeCell ref="G39:J39"/>
    <mergeCell ref="K39:N39"/>
    <mergeCell ref="A67:B67"/>
    <mergeCell ref="A44:A48"/>
    <mergeCell ref="A49:B49"/>
    <mergeCell ref="A50:A54"/>
    <mergeCell ref="A55:B55"/>
    <mergeCell ref="A56:B56"/>
    <mergeCell ref="A57:B57"/>
    <mergeCell ref="C57:F57"/>
    <mergeCell ref="G57:J57"/>
    <mergeCell ref="K57:N57"/>
    <mergeCell ref="A61:B61"/>
    <mergeCell ref="A62:A66"/>
    <mergeCell ref="A68:A72"/>
    <mergeCell ref="A73:B73"/>
    <mergeCell ref="A74:B74"/>
    <mergeCell ref="A75:B75"/>
    <mergeCell ref="C75:F75"/>
    <mergeCell ref="O93:Q93"/>
    <mergeCell ref="K75:N75"/>
    <mergeCell ref="A79:B79"/>
    <mergeCell ref="A80:A84"/>
    <mergeCell ref="A85:B85"/>
    <mergeCell ref="A86:A90"/>
    <mergeCell ref="A91:B91"/>
    <mergeCell ref="G75:J75"/>
    <mergeCell ref="A92:B92"/>
    <mergeCell ref="A93:B93"/>
    <mergeCell ref="C93:F93"/>
    <mergeCell ref="G93:J93"/>
    <mergeCell ref="K93:N93"/>
  </mergeCells>
  <pageMargins left="0.7" right="0.7" top="0.75" bottom="0.75" header="0.3" footer="0.3"/>
  <pageSetup paperSize="9" orientation="portrait" horizontalDpi="300" verticalDpi="300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0EB6-42D1-4476-9A36-8102F4A35AF3}">
  <dimension ref="A17:Y123"/>
  <sheetViews>
    <sheetView tabSelected="1" topLeftCell="A52" zoomScale="70" zoomScaleNormal="70" workbookViewId="0">
      <selection activeCell="B59" sqref="B59"/>
    </sheetView>
  </sheetViews>
  <sheetFormatPr defaultColWidth="11.42578125" defaultRowHeight="15" x14ac:dyDescent="0.25"/>
  <cols>
    <col min="1" max="1" width="14" customWidth="1"/>
    <col min="2" max="2" width="24.42578125" customWidth="1"/>
    <col min="3" max="3" width="20.42578125" customWidth="1"/>
    <col min="4" max="4" width="29.28515625" customWidth="1"/>
    <col min="5" max="5" width="29.42578125" customWidth="1"/>
    <col min="6" max="6" width="25.42578125" customWidth="1"/>
    <col min="7" max="7" width="23" customWidth="1"/>
    <col min="8" max="8" width="19.85546875" customWidth="1"/>
    <col min="9" max="9" width="20.85546875" customWidth="1"/>
    <col min="10" max="10" width="20.7109375" customWidth="1"/>
    <col min="11" max="11" width="20.140625" customWidth="1"/>
    <col min="12" max="12" width="24.140625" customWidth="1"/>
    <col min="13" max="13" width="24.85546875" customWidth="1"/>
    <col min="14" max="14" width="23" customWidth="1"/>
    <col min="15" max="15" width="29" customWidth="1"/>
    <col min="16" max="16" width="23.42578125" customWidth="1"/>
    <col min="17" max="17" width="18.140625" customWidth="1"/>
    <col min="18" max="18" width="18.85546875" customWidth="1"/>
    <col min="19" max="19" width="21.28515625" customWidth="1"/>
    <col min="20" max="20" width="32.7109375" bestFit="1" customWidth="1"/>
    <col min="21" max="22" width="20.140625" bestFit="1" customWidth="1"/>
    <col min="23" max="23" width="18.42578125" bestFit="1" customWidth="1"/>
    <col min="24" max="24" width="13.42578125" customWidth="1"/>
    <col min="25" max="25" width="17" customWidth="1"/>
  </cols>
  <sheetData>
    <row r="17" spans="1:14" x14ac:dyDescent="0.25">
      <c r="C17" s="54" t="s">
        <v>123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</row>
    <row r="18" spans="1:14" x14ac:dyDescent="0.25"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4" x14ac:dyDescent="0.25"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4" spans="1:14" ht="24" customHeight="1" x14ac:dyDescent="0.25">
      <c r="A24" s="43" t="s">
        <v>0</v>
      </c>
      <c r="B24" s="44"/>
      <c r="C24" t="s">
        <v>1</v>
      </c>
      <c r="D24" t="s">
        <v>75</v>
      </c>
      <c r="E24" t="s">
        <v>76</v>
      </c>
      <c r="F24" t="s">
        <v>77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</row>
    <row r="25" spans="1:14" x14ac:dyDescent="0.25">
      <c r="A25" s="58" t="s">
        <v>78</v>
      </c>
      <c r="B25" s="1" t="s">
        <v>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5">
      <c r="A26" s="59"/>
      <c r="B26" s="1" t="s">
        <v>80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59"/>
      <c r="B27" s="1" t="s">
        <v>81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59"/>
      <c r="B28" s="1" t="s">
        <v>82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59"/>
      <c r="B29" s="1" t="s">
        <v>83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59"/>
      <c r="B30" s="7" t="s">
        <v>84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59"/>
      <c r="B31" s="7" t="s">
        <v>85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59"/>
      <c r="B32" s="7" t="s">
        <v>86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25" x14ac:dyDescent="0.25">
      <c r="A33" s="59"/>
      <c r="B33" s="7" t="s">
        <v>87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25" x14ac:dyDescent="0.25">
      <c r="A34" s="59"/>
      <c r="B34" s="7" t="s">
        <v>96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25" x14ac:dyDescent="0.25">
      <c r="A35" s="56" t="s">
        <v>88</v>
      </c>
      <c r="B35" s="5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25" x14ac:dyDescent="0.25">
      <c r="A36" s="49" t="s">
        <v>89</v>
      </c>
      <c r="B36" s="49"/>
      <c r="C36" s="12">
        <f>SUM(Tableau13[Janvier 1-7])</f>
        <v>0</v>
      </c>
      <c r="D36" s="12">
        <f>SUM(Tableau13[Janvier  8-15])</f>
        <v>0</v>
      </c>
      <c r="E36" s="12">
        <f>SUM(Tableau13[Janvier  16-23])</f>
        <v>0</v>
      </c>
      <c r="F36" s="12">
        <f>SUM(Tableau13[Janvier  24-31])</f>
        <v>0</v>
      </c>
      <c r="G36" s="12">
        <f>SUM(Tableau13[Fevrier 1-7])</f>
        <v>0</v>
      </c>
      <c r="H36" s="12">
        <f>SUM(Tableau13[Fevrier 8-15])</f>
        <v>0</v>
      </c>
      <c r="I36" s="12">
        <f>SUM(Tableau13[Fevrier 16-23])</f>
        <v>0</v>
      </c>
      <c r="J36" s="12">
        <f>SUM(Tableau13[Fevrier 24-28])</f>
        <v>0</v>
      </c>
      <c r="K36" s="12">
        <f>SUM(Tableau13[Mars 1-7])</f>
        <v>0</v>
      </c>
      <c r="L36" s="12">
        <f>SUM(Tableau13[Mars 8-15])</f>
        <v>0</v>
      </c>
      <c r="M36" s="12">
        <f>SUM(Tableau13[Mars 16-23])</f>
        <v>0</v>
      </c>
      <c r="N36" s="12">
        <f>SUM(Tableau13[Mars 24-31])</f>
        <v>0</v>
      </c>
      <c r="P36" s="13"/>
    </row>
    <row r="37" spans="1:25" x14ac:dyDescent="0.25">
      <c r="A37" s="50" t="s">
        <v>90</v>
      </c>
      <c r="B37" s="50"/>
      <c r="C37" s="51">
        <f>SUM(C36:F36)</f>
        <v>0</v>
      </c>
      <c r="D37" s="52"/>
      <c r="E37" s="52"/>
      <c r="F37" s="53"/>
      <c r="G37" s="51">
        <f>SUM(G36:J36)</f>
        <v>0</v>
      </c>
      <c r="H37" s="52"/>
      <c r="I37" s="52"/>
      <c r="J37" s="53"/>
      <c r="K37" s="51">
        <f>SUM(K36:N36)</f>
        <v>0</v>
      </c>
      <c r="L37" s="52"/>
      <c r="M37" s="52"/>
      <c r="N37" s="53"/>
      <c r="Y37" t="s">
        <v>29</v>
      </c>
    </row>
    <row r="38" spans="1:25" x14ac:dyDescent="0.25">
      <c r="A38" t="s">
        <v>30</v>
      </c>
      <c r="B38" s="14" t="s">
        <v>91</v>
      </c>
      <c r="C38" s="14"/>
      <c r="D38" s="14"/>
      <c r="E38" s="14"/>
      <c r="G38" t="s">
        <v>92</v>
      </c>
      <c r="K38" t="s">
        <v>46</v>
      </c>
      <c r="Q38" t="s">
        <v>31</v>
      </c>
      <c r="Y38" t="s">
        <v>32</v>
      </c>
    </row>
    <row r="41" spans="1:25" ht="24" customHeight="1" x14ac:dyDescent="0.25">
      <c r="A41" s="43" t="s">
        <v>0</v>
      </c>
      <c r="B41" s="44"/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93</v>
      </c>
      <c r="I41" t="s">
        <v>94</v>
      </c>
      <c r="J41" t="s">
        <v>95</v>
      </c>
      <c r="K41" t="s">
        <v>42</v>
      </c>
      <c r="L41" t="s">
        <v>43</v>
      </c>
      <c r="M41" t="s">
        <v>44</v>
      </c>
      <c r="N41" t="s">
        <v>45</v>
      </c>
      <c r="S41" t="s">
        <v>46</v>
      </c>
    </row>
    <row r="42" spans="1:25" x14ac:dyDescent="0.25">
      <c r="A42" s="58" t="s">
        <v>78</v>
      </c>
      <c r="B42" s="1" t="s">
        <v>79</v>
      </c>
      <c r="C42" s="2"/>
      <c r="E42" s="2"/>
      <c r="G42" s="2"/>
      <c r="K42" s="2"/>
    </row>
    <row r="43" spans="1:25" x14ac:dyDescent="0.25">
      <c r="A43" s="59"/>
      <c r="B43" s="1" t="s">
        <v>80</v>
      </c>
      <c r="C43" s="2"/>
      <c r="E43" s="2"/>
      <c r="F43" s="2"/>
      <c r="H43" s="2"/>
      <c r="I43" s="2"/>
      <c r="L43" s="2"/>
      <c r="M43" s="2"/>
      <c r="Q43" t="s">
        <v>46</v>
      </c>
    </row>
    <row r="44" spans="1:25" x14ac:dyDescent="0.25">
      <c r="A44" s="59"/>
      <c r="B44" s="1" t="s">
        <v>81</v>
      </c>
      <c r="C44" s="2"/>
      <c r="F44" s="2"/>
      <c r="J44" s="2"/>
      <c r="N44" s="2"/>
    </row>
    <row r="45" spans="1:25" x14ac:dyDescent="0.25">
      <c r="A45" s="59"/>
      <c r="B45" s="1" t="s">
        <v>82</v>
      </c>
      <c r="C45" s="2"/>
      <c r="E45" s="2"/>
      <c r="G45" s="2"/>
      <c r="K45" s="2"/>
    </row>
    <row r="46" spans="1:25" x14ac:dyDescent="0.25">
      <c r="A46" s="59"/>
      <c r="B46" s="1" t="s">
        <v>83</v>
      </c>
      <c r="C46" s="2"/>
      <c r="D46" s="15"/>
      <c r="G46" s="2"/>
      <c r="K46" s="2"/>
      <c r="L46" s="2"/>
    </row>
    <row r="47" spans="1:25" x14ac:dyDescent="0.25">
      <c r="A47" s="59"/>
      <c r="B47" s="7" t="s">
        <v>84</v>
      </c>
      <c r="C47" s="2"/>
      <c r="G47" s="2"/>
      <c r="K47" s="2"/>
    </row>
    <row r="48" spans="1:25" x14ac:dyDescent="0.25">
      <c r="A48" s="59"/>
      <c r="B48" s="7" t="s">
        <v>85</v>
      </c>
      <c r="C48" s="2"/>
      <c r="F48" s="2"/>
      <c r="G48" s="2"/>
      <c r="I48" s="2"/>
      <c r="K48" s="2"/>
      <c r="M48" s="2"/>
    </row>
    <row r="49" spans="1:14" x14ac:dyDescent="0.25">
      <c r="A49" s="59"/>
      <c r="B49" s="7" t="s">
        <v>86</v>
      </c>
      <c r="C49" s="2"/>
      <c r="G49" s="2"/>
      <c r="K49" s="2"/>
      <c r="M49" s="2"/>
    </row>
    <row r="50" spans="1:14" x14ac:dyDescent="0.25">
      <c r="A50" s="59"/>
      <c r="B50" s="7" t="s">
        <v>87</v>
      </c>
      <c r="C50" s="2"/>
      <c r="G50" s="2"/>
      <c r="K50" s="2"/>
    </row>
    <row r="51" spans="1:14" x14ac:dyDescent="0.25">
      <c r="A51" s="59"/>
      <c r="B51" s="7" t="s">
        <v>96</v>
      </c>
      <c r="C51" s="2"/>
      <c r="G51" s="2"/>
      <c r="H51" s="2"/>
      <c r="K51" s="2"/>
    </row>
    <row r="52" spans="1:14" x14ac:dyDescent="0.25">
      <c r="A52" s="56" t="s">
        <v>88</v>
      </c>
      <c r="B52" s="57"/>
      <c r="C52" s="2"/>
      <c r="F52" s="2"/>
    </row>
    <row r="53" spans="1:14" x14ac:dyDescent="0.25">
      <c r="A53" s="49" t="s">
        <v>97</v>
      </c>
      <c r="B53" s="49"/>
      <c r="C53" s="9">
        <f t="shared" ref="C53:N53" si="0">SUM(C42:C52)</f>
        <v>0</v>
      </c>
      <c r="D53" s="9">
        <f t="shared" si="0"/>
        <v>0</v>
      </c>
      <c r="E53" s="9">
        <f t="shared" si="0"/>
        <v>0</v>
      </c>
      <c r="F53" s="9">
        <f t="shared" si="0"/>
        <v>0</v>
      </c>
      <c r="G53" s="9">
        <f t="shared" si="0"/>
        <v>0</v>
      </c>
      <c r="H53" s="9">
        <f t="shared" si="0"/>
        <v>0</v>
      </c>
      <c r="I53" s="9">
        <f t="shared" si="0"/>
        <v>0</v>
      </c>
      <c r="J53" s="9">
        <f t="shared" si="0"/>
        <v>0</v>
      </c>
      <c r="K53" s="9">
        <f t="shared" si="0"/>
        <v>0</v>
      </c>
      <c r="L53" s="9">
        <f t="shared" si="0"/>
        <v>0</v>
      </c>
      <c r="M53" s="9">
        <f t="shared" si="0"/>
        <v>0</v>
      </c>
      <c r="N53" s="9">
        <f t="shared" si="0"/>
        <v>0</v>
      </c>
    </row>
    <row r="54" spans="1:14" x14ac:dyDescent="0.25">
      <c r="A54" s="50" t="s">
        <v>90</v>
      </c>
      <c r="B54" s="50"/>
      <c r="C54" s="51">
        <f>SUM(C53:F53)</f>
        <v>0</v>
      </c>
      <c r="D54" s="52"/>
      <c r="E54" s="52"/>
      <c r="F54" s="53"/>
      <c r="G54" s="51">
        <f>SUM(G53:J53)</f>
        <v>0</v>
      </c>
      <c r="H54" s="52"/>
      <c r="I54" s="52"/>
      <c r="J54" s="53"/>
      <c r="K54" s="51">
        <f>SUM(K53:N53)</f>
        <v>0</v>
      </c>
      <c r="L54" s="52"/>
      <c r="M54" s="52"/>
      <c r="N54" s="53"/>
    </row>
    <row r="58" spans="1:14" ht="24.75" customHeight="1" x14ac:dyDescent="0.25">
      <c r="A58" s="43" t="s">
        <v>0</v>
      </c>
      <c r="B58" s="44"/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55</v>
      </c>
      <c r="L58" t="s">
        <v>56</v>
      </c>
      <c r="M58" t="s">
        <v>57</v>
      </c>
      <c r="N58" t="s">
        <v>98</v>
      </c>
    </row>
    <row r="59" spans="1:14" x14ac:dyDescent="0.25">
      <c r="A59" s="58" t="s">
        <v>78</v>
      </c>
      <c r="B59" s="1" t="s">
        <v>79</v>
      </c>
      <c r="C59" s="2"/>
      <c r="G59" s="2"/>
      <c r="K59" s="2"/>
    </row>
    <row r="60" spans="1:14" x14ac:dyDescent="0.25">
      <c r="A60" s="59"/>
      <c r="B60" s="1" t="s">
        <v>80</v>
      </c>
      <c r="C60" s="2"/>
      <c r="D60" s="2"/>
      <c r="E60" s="2"/>
      <c r="F60" s="2"/>
      <c r="I60" s="2"/>
      <c r="K60" s="2"/>
    </row>
    <row r="61" spans="1:14" x14ac:dyDescent="0.25">
      <c r="A61" s="59"/>
      <c r="B61" s="1" t="s">
        <v>81</v>
      </c>
      <c r="C61" s="2"/>
      <c r="F61" s="2"/>
      <c r="J61" s="2"/>
      <c r="K61" s="2"/>
    </row>
    <row r="62" spans="1:14" x14ac:dyDescent="0.25">
      <c r="A62" s="59"/>
      <c r="B62" s="1" t="s">
        <v>82</v>
      </c>
      <c r="C62" s="2"/>
      <c r="K62" s="2"/>
    </row>
    <row r="63" spans="1:14" x14ac:dyDescent="0.25">
      <c r="A63" s="59"/>
      <c r="B63" s="1" t="s">
        <v>83</v>
      </c>
      <c r="C63" s="2"/>
      <c r="D63" s="2"/>
      <c r="E63" s="2"/>
      <c r="F63" s="2"/>
      <c r="I63" s="15"/>
      <c r="J63" s="2"/>
      <c r="K63" s="2"/>
    </row>
    <row r="64" spans="1:14" x14ac:dyDescent="0.25">
      <c r="A64" s="59"/>
      <c r="B64" s="7" t="s">
        <v>84</v>
      </c>
      <c r="C64" s="2"/>
      <c r="K64" s="2"/>
    </row>
    <row r="65" spans="1:19" x14ac:dyDescent="0.25">
      <c r="A65" s="59"/>
      <c r="B65" s="7" t="s">
        <v>85</v>
      </c>
      <c r="C65" s="2"/>
      <c r="K65" s="2"/>
    </row>
    <row r="66" spans="1:19" x14ac:dyDescent="0.25">
      <c r="A66" s="59"/>
      <c r="B66" s="7" t="s">
        <v>86</v>
      </c>
      <c r="C66" s="2"/>
      <c r="I66" s="16"/>
      <c r="J66" s="16"/>
      <c r="K66" s="2"/>
    </row>
    <row r="67" spans="1:19" x14ac:dyDescent="0.25">
      <c r="A67" s="59"/>
      <c r="B67" s="7" t="s">
        <v>87</v>
      </c>
      <c r="C67" s="2"/>
      <c r="K67" s="2"/>
    </row>
    <row r="68" spans="1:19" x14ac:dyDescent="0.25">
      <c r="A68" s="59"/>
      <c r="B68" s="7" t="s">
        <v>96</v>
      </c>
      <c r="C68" s="2"/>
      <c r="K68" s="2"/>
      <c r="N68" s="15"/>
    </row>
    <row r="69" spans="1:19" x14ac:dyDescent="0.25">
      <c r="A69" s="56" t="s">
        <v>88</v>
      </c>
      <c r="B69" s="57"/>
      <c r="C69" s="2"/>
      <c r="K69" s="2"/>
    </row>
    <row r="70" spans="1:19" x14ac:dyDescent="0.25">
      <c r="A70" s="49" t="s">
        <v>97</v>
      </c>
      <c r="B70" s="49"/>
      <c r="C70" s="9">
        <f t="shared" ref="C70:N70" si="1">SUM(C59:C69)</f>
        <v>0</v>
      </c>
      <c r="D70" s="9">
        <f t="shared" si="1"/>
        <v>0</v>
      </c>
      <c r="E70" s="9">
        <f t="shared" si="1"/>
        <v>0</v>
      </c>
      <c r="F70" s="9">
        <f t="shared" si="1"/>
        <v>0</v>
      </c>
      <c r="G70" s="9">
        <f t="shared" si="1"/>
        <v>0</v>
      </c>
      <c r="H70" s="9">
        <f t="shared" si="1"/>
        <v>0</v>
      </c>
      <c r="I70" s="9">
        <f t="shared" si="1"/>
        <v>0</v>
      </c>
      <c r="J70" s="9">
        <f t="shared" si="1"/>
        <v>0</v>
      </c>
      <c r="K70" s="9">
        <f t="shared" si="1"/>
        <v>0</v>
      </c>
      <c r="L70" s="9">
        <f t="shared" si="1"/>
        <v>0</v>
      </c>
      <c r="M70" s="9">
        <f t="shared" si="1"/>
        <v>0</v>
      </c>
      <c r="N70" s="9">
        <f t="shared" si="1"/>
        <v>0</v>
      </c>
    </row>
    <row r="71" spans="1:19" x14ac:dyDescent="0.25">
      <c r="A71" s="50" t="s">
        <v>90</v>
      </c>
      <c r="B71" s="50"/>
      <c r="C71" s="42">
        <f>SUM(C70:F70)</f>
        <v>0</v>
      </c>
      <c r="D71" s="42"/>
      <c r="E71" s="42"/>
      <c r="F71" s="42"/>
      <c r="G71" s="42">
        <f>SUM(G70:J70)</f>
        <v>0</v>
      </c>
      <c r="H71" s="42"/>
      <c r="I71" s="42"/>
      <c r="J71" s="42"/>
      <c r="K71" s="42">
        <f>SUM(K70:N70)</f>
        <v>0</v>
      </c>
      <c r="L71" s="42"/>
      <c r="M71" s="42"/>
      <c r="N71" s="42"/>
    </row>
    <row r="75" spans="1:19" ht="23.25" customHeight="1" x14ac:dyDescent="0.25">
      <c r="A75" s="43" t="s">
        <v>0</v>
      </c>
      <c r="B75" s="44"/>
      <c r="C75" t="s">
        <v>59</v>
      </c>
      <c r="D75" t="s">
        <v>60</v>
      </c>
      <c r="E75" t="s">
        <v>61</v>
      </c>
      <c r="F75" t="s">
        <v>99</v>
      </c>
      <c r="G75" t="s">
        <v>63</v>
      </c>
      <c r="H75" t="s">
        <v>64</v>
      </c>
      <c r="I75" t="s">
        <v>65</v>
      </c>
      <c r="J75" t="s">
        <v>100</v>
      </c>
      <c r="K75" t="s">
        <v>67</v>
      </c>
      <c r="L75" t="s">
        <v>68</v>
      </c>
      <c r="M75" t="s">
        <v>69</v>
      </c>
      <c r="N75" t="s">
        <v>101</v>
      </c>
      <c r="O75" t="s">
        <v>102</v>
      </c>
      <c r="P75" t="s">
        <v>103</v>
      </c>
      <c r="Q75" t="s">
        <v>104</v>
      </c>
      <c r="R75" t="s">
        <v>105</v>
      </c>
      <c r="S75" t="s">
        <v>74</v>
      </c>
    </row>
    <row r="76" spans="1:19" ht="20.25" customHeight="1" x14ac:dyDescent="0.25">
      <c r="A76" s="58" t="s">
        <v>78</v>
      </c>
      <c r="B76" s="1" t="s">
        <v>79</v>
      </c>
      <c r="C76" s="2"/>
      <c r="G76" s="2"/>
      <c r="K76" s="2"/>
      <c r="S76" s="2">
        <f t="shared" ref="S76:S86" si="2">SUM(C25:N25,C42:N42,C59:N59,C76:R76)</f>
        <v>0</v>
      </c>
    </row>
    <row r="77" spans="1:19" ht="21.75" customHeight="1" x14ac:dyDescent="0.25">
      <c r="A77" s="59"/>
      <c r="B77" s="1" t="s">
        <v>80</v>
      </c>
      <c r="C77" s="2"/>
      <c r="E77" s="2"/>
      <c r="I77" s="2"/>
      <c r="K77" s="2"/>
      <c r="M77" s="2"/>
      <c r="S77" s="2">
        <f t="shared" si="2"/>
        <v>0</v>
      </c>
    </row>
    <row r="78" spans="1:19" ht="24" customHeight="1" x14ac:dyDescent="0.25">
      <c r="A78" s="59"/>
      <c r="B78" s="1" t="s">
        <v>81</v>
      </c>
      <c r="C78" s="2"/>
      <c r="F78" s="2"/>
      <c r="J78" s="2"/>
      <c r="K78" s="2"/>
      <c r="S78" s="2">
        <f t="shared" si="2"/>
        <v>0</v>
      </c>
    </row>
    <row r="79" spans="1:19" ht="25.5" customHeight="1" x14ac:dyDescent="0.25">
      <c r="A79" s="59"/>
      <c r="B79" s="1" t="s">
        <v>82</v>
      </c>
      <c r="C79" s="2"/>
      <c r="K79" s="2"/>
      <c r="S79" s="2">
        <f t="shared" si="2"/>
        <v>0</v>
      </c>
    </row>
    <row r="80" spans="1:19" ht="22.5" customHeight="1" x14ac:dyDescent="0.25">
      <c r="A80" s="59"/>
      <c r="B80" s="1" t="s">
        <v>83</v>
      </c>
      <c r="C80" s="2"/>
      <c r="D80" s="17"/>
      <c r="H80" s="2"/>
      <c r="I80" s="2"/>
      <c r="J80" s="2"/>
      <c r="K80" s="2"/>
      <c r="L80" s="2"/>
      <c r="O80" s="2"/>
      <c r="Q80" s="2"/>
      <c r="S80" s="2">
        <f t="shared" si="2"/>
        <v>0</v>
      </c>
    </row>
    <row r="81" spans="1:19" ht="21.75" customHeight="1" x14ac:dyDescent="0.25">
      <c r="A81" s="59"/>
      <c r="B81" s="7" t="s">
        <v>84</v>
      </c>
      <c r="C81" s="2"/>
      <c r="H81" s="2"/>
      <c r="I81" s="2"/>
      <c r="J81" s="2"/>
      <c r="K81" s="2"/>
      <c r="S81" s="2">
        <f t="shared" si="2"/>
        <v>0</v>
      </c>
    </row>
    <row r="82" spans="1:19" ht="19.5" customHeight="1" x14ac:dyDescent="0.25">
      <c r="A82" s="59"/>
      <c r="B82" s="7" t="s">
        <v>85</v>
      </c>
      <c r="C82" s="2"/>
      <c r="H82" s="2"/>
      <c r="I82" s="2"/>
      <c r="J82" s="2"/>
      <c r="K82" s="2"/>
      <c r="S82" s="2">
        <f t="shared" si="2"/>
        <v>0</v>
      </c>
    </row>
    <row r="83" spans="1:19" ht="18.75" customHeight="1" x14ac:dyDescent="0.25">
      <c r="A83" s="59"/>
      <c r="B83" s="7" t="s">
        <v>86</v>
      </c>
      <c r="C83" s="2"/>
      <c r="H83" s="2"/>
      <c r="I83" s="2"/>
      <c r="J83" s="2"/>
      <c r="K83" s="2"/>
      <c r="S83" s="2">
        <f t="shared" si="2"/>
        <v>0</v>
      </c>
    </row>
    <row r="84" spans="1:19" x14ac:dyDescent="0.25">
      <c r="A84" s="59"/>
      <c r="B84" s="7" t="s">
        <v>87</v>
      </c>
      <c r="C84" s="2"/>
      <c r="E84" s="2"/>
      <c r="G84" s="2"/>
      <c r="H84" s="2"/>
      <c r="I84" s="2"/>
      <c r="J84" s="2"/>
      <c r="K84" s="2"/>
      <c r="S84" s="2">
        <f t="shared" si="2"/>
        <v>0</v>
      </c>
    </row>
    <row r="85" spans="1:19" x14ac:dyDescent="0.25">
      <c r="A85" s="59"/>
      <c r="B85" s="7" t="s">
        <v>96</v>
      </c>
      <c r="C85" s="2"/>
      <c r="K85" s="2"/>
      <c r="S85" s="2">
        <f t="shared" si="2"/>
        <v>0</v>
      </c>
    </row>
    <row r="86" spans="1:19" ht="19.5" customHeight="1" x14ac:dyDescent="0.25">
      <c r="A86" s="56" t="s">
        <v>88</v>
      </c>
      <c r="B86" s="57"/>
      <c r="C86" s="2"/>
      <c r="K86" s="2"/>
      <c r="S86" s="2">
        <f t="shared" si="2"/>
        <v>0</v>
      </c>
    </row>
    <row r="87" spans="1:19" ht="19.5" customHeight="1" x14ac:dyDescent="0.25">
      <c r="A87" s="49" t="s">
        <v>97</v>
      </c>
      <c r="B87" s="49"/>
      <c r="C87" s="9">
        <f t="shared" ref="C87:S87" si="3">SUM(C76:C86)</f>
        <v>0</v>
      </c>
      <c r="D87" s="9">
        <f t="shared" si="3"/>
        <v>0</v>
      </c>
      <c r="E87" s="9">
        <f t="shared" si="3"/>
        <v>0</v>
      </c>
      <c r="F87" s="9">
        <f t="shared" si="3"/>
        <v>0</v>
      </c>
      <c r="G87" s="9">
        <f t="shared" si="3"/>
        <v>0</v>
      </c>
      <c r="H87" s="9">
        <f t="shared" si="3"/>
        <v>0</v>
      </c>
      <c r="I87" s="9">
        <f t="shared" si="3"/>
        <v>0</v>
      </c>
      <c r="J87" s="9">
        <f t="shared" si="3"/>
        <v>0</v>
      </c>
      <c r="K87" s="9">
        <f t="shared" si="3"/>
        <v>0</v>
      </c>
      <c r="L87" s="9">
        <f t="shared" si="3"/>
        <v>0</v>
      </c>
      <c r="M87" s="9">
        <f t="shared" si="3"/>
        <v>0</v>
      </c>
      <c r="N87" s="9">
        <f t="shared" si="3"/>
        <v>0</v>
      </c>
      <c r="O87" s="9">
        <f t="shared" si="3"/>
        <v>0</v>
      </c>
      <c r="P87" s="9">
        <f t="shared" si="3"/>
        <v>0</v>
      </c>
      <c r="Q87" s="9">
        <f t="shared" si="3"/>
        <v>0</v>
      </c>
      <c r="R87" s="9">
        <f t="shared" si="3"/>
        <v>0</v>
      </c>
      <c r="S87" s="9">
        <f t="shared" si="3"/>
        <v>0</v>
      </c>
    </row>
    <row r="88" spans="1:19" ht="22.5" customHeight="1" x14ac:dyDescent="0.25">
      <c r="A88" s="50" t="s">
        <v>90</v>
      </c>
      <c r="B88" s="50"/>
      <c r="C88" s="42">
        <f>SUM(C87:F87)</f>
        <v>0</v>
      </c>
      <c r="D88" s="42"/>
      <c r="E88" s="42"/>
      <c r="F88" s="42"/>
      <c r="G88" s="42">
        <f>SUM(G87:J87)</f>
        <v>0</v>
      </c>
      <c r="H88" s="42"/>
      <c r="I88" s="42"/>
      <c r="J88" s="42"/>
      <c r="K88" s="42">
        <f>SUM(K87:N87)</f>
        <v>0</v>
      </c>
      <c r="L88" s="42"/>
      <c r="M88" s="42"/>
      <c r="N88" s="42"/>
      <c r="O88" s="42">
        <f>SUM(O87:R87)</f>
        <v>0</v>
      </c>
      <c r="P88" s="42"/>
      <c r="Q88" s="42"/>
      <c r="R88" s="42"/>
      <c r="S88" s="18">
        <f>SUM(S76:S86)</f>
        <v>0</v>
      </c>
    </row>
    <row r="89" spans="1:19" ht="33" customHeight="1" x14ac:dyDescent="0.25"/>
    <row r="90" spans="1:19" ht="30" customHeight="1" x14ac:dyDescent="0.25">
      <c r="I90" s="55"/>
      <c r="J90" s="55"/>
    </row>
    <row r="91" spans="1:19" ht="15" customHeight="1" x14ac:dyDescent="0.25">
      <c r="G91" s="2"/>
      <c r="I91" s="55"/>
      <c r="J91" s="55"/>
    </row>
    <row r="92" spans="1:19" x14ac:dyDescent="0.25">
      <c r="F92" s="2"/>
      <c r="I92" s="55"/>
      <c r="J92" s="55"/>
      <c r="L92" s="2"/>
    </row>
    <row r="97" ht="27.75" customHeight="1" x14ac:dyDescent="0.25"/>
    <row r="98" ht="27.75" customHeight="1" x14ac:dyDescent="0.25"/>
    <row r="99" ht="27.75" customHeight="1" x14ac:dyDescent="0.25"/>
    <row r="100" ht="27.75" customHeight="1" x14ac:dyDescent="0.25"/>
    <row r="101" ht="24.75" customHeight="1" x14ac:dyDescent="0.25"/>
    <row r="102" ht="24.75" customHeight="1" x14ac:dyDescent="0.25"/>
    <row r="103" ht="39.75" customHeight="1" x14ac:dyDescent="0.25"/>
    <row r="104" ht="39.75" customHeight="1" x14ac:dyDescent="0.25"/>
    <row r="105" ht="39.75" customHeight="1" x14ac:dyDescent="0.25"/>
    <row r="106" ht="39.75" customHeight="1" x14ac:dyDescent="0.25"/>
    <row r="107" ht="39.75" customHeight="1" x14ac:dyDescent="0.25"/>
    <row r="108" ht="39.75" customHeight="1" x14ac:dyDescent="0.25"/>
    <row r="109" ht="39.75" customHeight="1" x14ac:dyDescent="0.25"/>
    <row r="110" ht="39.75" customHeight="1" x14ac:dyDescent="0.25"/>
    <row r="111" ht="39.75" customHeight="1" x14ac:dyDescent="0.25"/>
    <row r="112" ht="39.75" customHeight="1" x14ac:dyDescent="0.25"/>
    <row r="113" spans="3:6" ht="39.75" customHeight="1" x14ac:dyDescent="0.25"/>
    <row r="114" spans="3:6" ht="39.75" customHeight="1" x14ac:dyDescent="0.25"/>
    <row r="115" spans="3:6" ht="39.75" customHeight="1" x14ac:dyDescent="0.25"/>
    <row r="116" spans="3:6" ht="39.75" customHeight="1" x14ac:dyDescent="0.25"/>
    <row r="117" spans="3:6" ht="35.25" customHeight="1" x14ac:dyDescent="0.25"/>
    <row r="121" spans="3:6" x14ac:dyDescent="0.25">
      <c r="C121" s="20"/>
      <c r="D121" s="20"/>
      <c r="E121" s="41"/>
      <c r="F121" s="19"/>
    </row>
    <row r="122" spans="3:6" x14ac:dyDescent="0.25">
      <c r="E122" s="20"/>
      <c r="F122" s="19"/>
    </row>
    <row r="123" spans="3:6" x14ac:dyDescent="0.25">
      <c r="E123" s="20"/>
      <c r="F123" s="19"/>
    </row>
  </sheetData>
  <mergeCells count="37">
    <mergeCell ref="A37:B37"/>
    <mergeCell ref="C37:F37"/>
    <mergeCell ref="G37:J37"/>
    <mergeCell ref="K37:N37"/>
    <mergeCell ref="C17:M19"/>
    <mergeCell ref="A24:B24"/>
    <mergeCell ref="A25:A34"/>
    <mergeCell ref="A35:B35"/>
    <mergeCell ref="A36:B36"/>
    <mergeCell ref="A41:B41"/>
    <mergeCell ref="A42:A51"/>
    <mergeCell ref="A52:B52"/>
    <mergeCell ref="A53:B53"/>
    <mergeCell ref="A54:B54"/>
    <mergeCell ref="A76:A85"/>
    <mergeCell ref="G54:J54"/>
    <mergeCell ref="K54:N54"/>
    <mergeCell ref="A58:B58"/>
    <mergeCell ref="A59:A68"/>
    <mergeCell ref="A69:B69"/>
    <mergeCell ref="A70:B70"/>
    <mergeCell ref="C54:F54"/>
    <mergeCell ref="A71:B71"/>
    <mergeCell ref="C71:F71"/>
    <mergeCell ref="G71:J71"/>
    <mergeCell ref="K71:N71"/>
    <mergeCell ref="A75:B75"/>
    <mergeCell ref="A86:B86"/>
    <mergeCell ref="A87:B87"/>
    <mergeCell ref="A88:B88"/>
    <mergeCell ref="C88:F88"/>
    <mergeCell ref="G88:J88"/>
    <mergeCell ref="O88:R88"/>
    <mergeCell ref="I90:J90"/>
    <mergeCell ref="I91:J91"/>
    <mergeCell ref="I92:J92"/>
    <mergeCell ref="K88:N88"/>
  </mergeCells>
  <pageMargins left="0.7" right="0.7" top="0.75" bottom="0.75" header="0.3" footer="0.3"/>
  <pageSetup paperSize="9" orientation="portrait" horizontalDpi="300" verticalDpi="300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3283-2289-4F35-9DB8-EFE23F1553CB}">
  <sheetPr>
    <pageSetUpPr fitToPage="1"/>
  </sheetPr>
  <dimension ref="A2:AC162"/>
  <sheetViews>
    <sheetView topLeftCell="A2" zoomScale="60" zoomScaleNormal="60" workbookViewId="0">
      <selection activeCell="B24" sqref="B24:B33"/>
    </sheetView>
  </sheetViews>
  <sheetFormatPr defaultColWidth="11.42578125" defaultRowHeight="15" x14ac:dyDescent="0.25"/>
  <cols>
    <col min="1" max="1" width="10.5703125" customWidth="1"/>
    <col min="2" max="2" width="20.140625" customWidth="1"/>
    <col min="3" max="3" width="25.140625" customWidth="1"/>
    <col min="4" max="4" width="25.42578125" customWidth="1"/>
    <col min="5" max="5" width="25" customWidth="1"/>
    <col min="6" max="6" width="25.42578125" customWidth="1"/>
    <col min="7" max="7" width="23" customWidth="1"/>
    <col min="8" max="8" width="19.85546875" customWidth="1"/>
    <col min="9" max="9" width="20.85546875" customWidth="1"/>
    <col min="10" max="10" width="20.7109375" customWidth="1"/>
    <col min="11" max="11" width="20.140625" customWidth="1"/>
    <col min="12" max="12" width="24.140625" customWidth="1"/>
    <col min="13" max="13" width="24.85546875" customWidth="1"/>
    <col min="14" max="18" width="23" customWidth="1"/>
    <col min="19" max="19" width="29" customWidth="1"/>
    <col min="20" max="20" width="23.42578125" customWidth="1"/>
    <col min="21" max="21" width="18.140625" customWidth="1"/>
    <col min="22" max="22" width="17.42578125" customWidth="1"/>
    <col min="23" max="24" width="13.85546875" customWidth="1"/>
    <col min="25" max="28" width="13.42578125" customWidth="1"/>
    <col min="29" max="29" width="17" customWidth="1"/>
  </cols>
  <sheetData>
    <row r="2" spans="4:18" x14ac:dyDescent="0.25">
      <c r="O2" s="2"/>
      <c r="P2" s="2"/>
      <c r="Q2" s="2"/>
      <c r="R2" s="2"/>
    </row>
    <row r="3" spans="4:18" x14ac:dyDescent="0.25">
      <c r="O3" s="2"/>
      <c r="P3" s="2"/>
      <c r="Q3" s="2"/>
      <c r="R3" s="2"/>
    </row>
    <row r="4" spans="4:18" x14ac:dyDescent="0.25">
      <c r="O4" s="2"/>
      <c r="P4" s="2"/>
      <c r="Q4" s="2"/>
      <c r="R4" s="2"/>
    </row>
    <row r="5" spans="4:18" x14ac:dyDescent="0.25">
      <c r="O5" s="2"/>
      <c r="P5" s="2"/>
      <c r="Q5" s="2"/>
      <c r="R5" s="2"/>
    </row>
    <row r="6" spans="4:18" x14ac:dyDescent="0.25">
      <c r="O6" s="2"/>
      <c r="P6" s="2"/>
      <c r="Q6" s="2"/>
      <c r="R6" s="2"/>
    </row>
    <row r="7" spans="4:18" x14ac:dyDescent="0.25">
      <c r="O7" s="2"/>
      <c r="P7" s="2"/>
      <c r="Q7" s="2"/>
      <c r="R7" s="2"/>
    </row>
    <row r="8" spans="4:18" x14ac:dyDescent="0.25">
      <c r="O8" s="2"/>
      <c r="P8" s="2"/>
      <c r="Q8" s="2"/>
      <c r="R8" s="2"/>
    </row>
    <row r="9" spans="4:18" x14ac:dyDescent="0.25">
      <c r="O9" s="2"/>
      <c r="P9" s="2"/>
      <c r="Q9" s="2"/>
      <c r="R9" s="2"/>
    </row>
    <row r="10" spans="4:18" x14ac:dyDescent="0.25">
      <c r="O10" s="2"/>
      <c r="P10" s="2"/>
      <c r="Q10" s="2"/>
      <c r="R10" s="2"/>
    </row>
    <row r="11" spans="4:18" x14ac:dyDescent="0.25">
      <c r="O11" s="2"/>
      <c r="P11" s="2"/>
      <c r="Q11" s="2"/>
      <c r="R11" s="2"/>
    </row>
    <row r="12" spans="4:18" x14ac:dyDescent="0.25">
      <c r="O12" s="2"/>
      <c r="P12" s="2"/>
      <c r="Q12" s="2"/>
      <c r="R12" s="2"/>
    </row>
    <row r="13" spans="4:18" x14ac:dyDescent="0.25">
      <c r="O13" s="2"/>
      <c r="P13" s="2"/>
      <c r="Q13" s="2"/>
      <c r="R13" s="2"/>
    </row>
    <row r="14" spans="4:18" x14ac:dyDescent="0.25">
      <c r="D14" s="77" t="s">
        <v>122</v>
      </c>
      <c r="E14" s="77"/>
      <c r="F14" s="77"/>
      <c r="G14" s="77"/>
      <c r="H14" s="77"/>
      <c r="I14" s="77"/>
      <c r="J14" s="77"/>
      <c r="K14" s="77"/>
      <c r="L14" s="77"/>
      <c r="O14" s="2"/>
      <c r="P14" s="2"/>
      <c r="Q14" s="2"/>
      <c r="R14" s="2"/>
    </row>
    <row r="15" spans="4:18" x14ac:dyDescent="0.25">
      <c r="D15" s="77"/>
      <c r="E15" s="77"/>
      <c r="F15" s="77"/>
      <c r="G15" s="77"/>
      <c r="H15" s="77"/>
      <c r="I15" s="77"/>
      <c r="J15" s="77"/>
      <c r="K15" s="77"/>
      <c r="L15" s="77"/>
      <c r="O15" s="2"/>
      <c r="P15" s="2"/>
      <c r="Q15" s="2"/>
      <c r="R15" s="2"/>
    </row>
    <row r="16" spans="4:18" x14ac:dyDescent="0.25">
      <c r="D16" s="77"/>
      <c r="E16" s="77"/>
      <c r="F16" s="77"/>
      <c r="G16" s="77"/>
      <c r="H16" s="77"/>
      <c r="I16" s="77"/>
      <c r="J16" s="77"/>
      <c r="K16" s="77"/>
      <c r="L16" s="77"/>
      <c r="O16" s="2"/>
      <c r="P16" s="2"/>
      <c r="Q16" s="2"/>
      <c r="R16" s="2"/>
    </row>
    <row r="17" spans="1:18" x14ac:dyDescent="0.25">
      <c r="O17" s="2"/>
      <c r="P17" s="2"/>
      <c r="Q17" s="2"/>
      <c r="R17" s="2"/>
    </row>
    <row r="18" spans="1:18" x14ac:dyDescent="0.25">
      <c r="O18" s="2"/>
      <c r="P18" s="2"/>
      <c r="Q18" s="2"/>
      <c r="R18" s="2"/>
    </row>
    <row r="19" spans="1:18" x14ac:dyDescent="0.25">
      <c r="B19" s="21"/>
      <c r="O19" s="2"/>
      <c r="P19" s="2"/>
      <c r="Q19" s="2"/>
      <c r="R19" s="2"/>
    </row>
    <row r="20" spans="1:18" x14ac:dyDescent="0.25">
      <c r="O20" s="2"/>
      <c r="P20" s="2"/>
      <c r="Q20" s="2"/>
      <c r="R20" s="2"/>
    </row>
    <row r="21" spans="1:18" ht="3.75" customHeight="1" x14ac:dyDescent="0.25">
      <c r="O21" s="2"/>
      <c r="P21" s="2"/>
      <c r="Q21" s="2"/>
      <c r="R21" s="2"/>
    </row>
    <row r="22" spans="1:18" ht="28.5" customHeight="1" x14ac:dyDescent="0.25">
      <c r="A22" s="43" t="s">
        <v>0</v>
      </c>
      <c r="B22" s="44"/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s="2"/>
      <c r="P22" s="2"/>
      <c r="Q22" s="2"/>
      <c r="R22" s="2"/>
    </row>
    <row r="23" spans="1:18" x14ac:dyDescent="0.25">
      <c r="A23" s="73" t="s">
        <v>106</v>
      </c>
      <c r="B23" s="74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"/>
      <c r="P23" s="2"/>
      <c r="Q23" s="2"/>
      <c r="R23" s="2"/>
    </row>
    <row r="24" spans="1:18" x14ac:dyDescent="0.25">
      <c r="A24" s="58" t="s">
        <v>78</v>
      </c>
      <c r="B24" s="1" t="s">
        <v>79</v>
      </c>
      <c r="C24" s="2">
        <f>'Prévisions Entrées-Encaiss'!C25</f>
        <v>0</v>
      </c>
      <c r="D24" s="2">
        <f>'Prévisions Entrées-Encaiss'!D25</f>
        <v>0</v>
      </c>
      <c r="E24" s="2">
        <f>'Prévisions Entrées-Encaiss'!E25</f>
        <v>0</v>
      </c>
      <c r="F24" s="2">
        <f>'Prévisions Entrées-Encaiss'!F25</f>
        <v>0</v>
      </c>
      <c r="G24" s="2">
        <f>'Prévisions Entrées-Encaiss'!G25</f>
        <v>0</v>
      </c>
      <c r="H24" s="2">
        <f>'Prévisions Entrées-Encaiss'!H25</f>
        <v>0</v>
      </c>
      <c r="I24" s="2">
        <f>'Prévisions Entrées-Encaiss'!I25</f>
        <v>0</v>
      </c>
      <c r="J24" s="2">
        <f>'Prévisions Entrées-Encaiss'!J25</f>
        <v>0</v>
      </c>
      <c r="K24" s="2">
        <f>'Prévisions Entrées-Encaiss'!K25</f>
        <v>0</v>
      </c>
      <c r="L24" s="2">
        <f>'Prévisions Entrées-Encaiss'!L25</f>
        <v>0</v>
      </c>
      <c r="M24" s="2">
        <f>'Prévisions Entrées-Encaiss'!M25</f>
        <v>0</v>
      </c>
      <c r="N24" s="2">
        <f>'Prévisions Entrées-Encaiss'!N25</f>
        <v>0</v>
      </c>
      <c r="O24" s="2"/>
      <c r="P24" s="2"/>
      <c r="Q24" s="2"/>
      <c r="R24" s="2"/>
    </row>
    <row r="25" spans="1:18" x14ac:dyDescent="0.25">
      <c r="A25" s="59"/>
      <c r="B25" s="1" t="s">
        <v>80</v>
      </c>
      <c r="C25" s="2">
        <f>'[1]Prévisions Entrées-Encaiss'!C26</f>
        <v>0</v>
      </c>
      <c r="D25" s="2">
        <f>'[1]Prévisions Entrées-Encaiss'!D26</f>
        <v>0</v>
      </c>
      <c r="E25" s="2">
        <f>'[1]Prévisions Entrées-Encaiss'!E26</f>
        <v>0</v>
      </c>
      <c r="F25" s="2">
        <f>'[1]Prévisions Entrées-Encaiss'!F26</f>
        <v>0</v>
      </c>
      <c r="G25" s="2">
        <f>'[1]Prévisions Entrées-Encaiss'!G26</f>
        <v>0</v>
      </c>
      <c r="H25" s="2">
        <f>'[1]Prévisions Entrées-Encaiss'!H26</f>
        <v>0</v>
      </c>
      <c r="I25" s="2">
        <f>'[1]Prévisions Entrées-Encaiss'!I26</f>
        <v>0</v>
      </c>
      <c r="J25" s="2">
        <f>'[1]Prévisions Entrées-Encaiss'!J26</f>
        <v>0</v>
      </c>
      <c r="K25" s="2">
        <f>'[1]Prévisions Entrées-Encaiss'!K26</f>
        <v>0</v>
      </c>
      <c r="L25" s="2">
        <f>'[1]Prévisions Entrées-Encaiss'!L26</f>
        <v>0</v>
      </c>
      <c r="M25" s="2">
        <f>'[1]Prévisions Entrées-Encaiss'!M26</f>
        <v>0</v>
      </c>
      <c r="N25" s="2">
        <f>'[1]Prévisions Entrées-Encaiss'!N26</f>
        <v>0</v>
      </c>
      <c r="O25" s="2"/>
      <c r="P25" s="2"/>
      <c r="Q25" s="2"/>
      <c r="R25" s="2"/>
    </row>
    <row r="26" spans="1:18" x14ac:dyDescent="0.25">
      <c r="A26" s="59"/>
      <c r="B26" s="1" t="s">
        <v>81</v>
      </c>
      <c r="C26" s="2">
        <f>'[1]Prévisions Entrées-Encaiss'!C27</f>
        <v>0</v>
      </c>
      <c r="D26" s="2">
        <f>'[1]Prévisions Entrées-Encaiss'!D27</f>
        <v>0</v>
      </c>
      <c r="E26" s="2">
        <f>'[1]Prévisions Entrées-Encaiss'!E27</f>
        <v>0</v>
      </c>
      <c r="F26" s="2">
        <f>'[1]Prévisions Entrées-Encaiss'!F27</f>
        <v>0</v>
      </c>
      <c r="G26" s="2">
        <f>'[1]Prévisions Entrées-Encaiss'!G27</f>
        <v>0</v>
      </c>
      <c r="H26" s="2">
        <f>'[1]Prévisions Entrées-Encaiss'!H27</f>
        <v>0</v>
      </c>
      <c r="I26" s="2">
        <f>'[1]Prévisions Entrées-Encaiss'!I27</f>
        <v>0</v>
      </c>
      <c r="J26" s="2">
        <f>'[1]Prévisions Entrées-Encaiss'!J27</f>
        <v>0</v>
      </c>
      <c r="K26" s="2">
        <f>'[1]Prévisions Entrées-Encaiss'!K27</f>
        <v>0</v>
      </c>
      <c r="L26" s="2">
        <f>'[1]Prévisions Entrées-Encaiss'!L27</f>
        <v>0</v>
      </c>
      <c r="M26" s="2">
        <f>'[1]Prévisions Entrées-Encaiss'!M27</f>
        <v>0</v>
      </c>
      <c r="N26" s="2">
        <f>'[1]Prévisions Entrées-Encaiss'!N27</f>
        <v>0</v>
      </c>
      <c r="O26" s="2"/>
      <c r="P26" s="2"/>
      <c r="Q26" s="2"/>
      <c r="R26" s="2"/>
    </row>
    <row r="27" spans="1:18" x14ac:dyDescent="0.25">
      <c r="A27" s="59"/>
      <c r="B27" s="1" t="s">
        <v>82</v>
      </c>
      <c r="C27" s="2">
        <f>'[1]Prévisions Entrées-Encaiss'!C28</f>
        <v>0</v>
      </c>
      <c r="D27" s="2">
        <f>'[1]Prévisions Entrées-Encaiss'!D28</f>
        <v>0</v>
      </c>
      <c r="E27" s="2">
        <f>'[1]Prévisions Entrées-Encaiss'!E28</f>
        <v>0</v>
      </c>
      <c r="F27" s="2">
        <f>'[1]Prévisions Entrées-Encaiss'!F28</f>
        <v>0</v>
      </c>
      <c r="G27" s="2">
        <f>'[1]Prévisions Entrées-Encaiss'!G28</f>
        <v>0</v>
      </c>
      <c r="H27" s="2">
        <f>'[1]Prévisions Entrées-Encaiss'!H28</f>
        <v>0</v>
      </c>
      <c r="I27" s="2">
        <f>'[1]Prévisions Entrées-Encaiss'!I28</f>
        <v>0</v>
      </c>
      <c r="J27" s="2">
        <f>'[1]Prévisions Entrées-Encaiss'!J28</f>
        <v>0</v>
      </c>
      <c r="K27" s="2">
        <f>'[1]Prévisions Entrées-Encaiss'!K28</f>
        <v>0</v>
      </c>
      <c r="L27" s="2">
        <f>'[1]Prévisions Entrées-Encaiss'!L28</f>
        <v>0</v>
      </c>
      <c r="M27" s="2">
        <f>'[1]Prévisions Entrées-Encaiss'!M28</f>
        <v>0</v>
      </c>
      <c r="N27" s="2">
        <f>'[1]Prévisions Entrées-Encaiss'!N28</f>
        <v>0</v>
      </c>
      <c r="O27" s="2"/>
      <c r="P27" s="2"/>
      <c r="Q27" s="2"/>
      <c r="R27" s="2"/>
    </row>
    <row r="28" spans="1:18" x14ac:dyDescent="0.25">
      <c r="A28" s="59"/>
      <c r="B28" s="1" t="s">
        <v>83</v>
      </c>
      <c r="C28" s="2">
        <f>'[1]Prévisions Entrées-Encaiss'!C29</f>
        <v>0</v>
      </c>
      <c r="D28" s="2">
        <f>'[1]Prévisions Entrées-Encaiss'!D29</f>
        <v>0</v>
      </c>
      <c r="E28" s="2">
        <f>'[1]Prévisions Entrées-Encaiss'!E29</f>
        <v>0</v>
      </c>
      <c r="F28" s="2">
        <f>'[1]Prévisions Entrées-Encaiss'!F29</f>
        <v>0</v>
      </c>
      <c r="G28" s="2">
        <f>'[1]Prévisions Entrées-Encaiss'!G29</f>
        <v>0</v>
      </c>
      <c r="H28" s="2">
        <f>'[1]Prévisions Entrées-Encaiss'!H29</f>
        <v>0</v>
      </c>
      <c r="I28" s="2">
        <f>'[1]Prévisions Entrées-Encaiss'!I29</f>
        <v>0</v>
      </c>
      <c r="J28" s="2">
        <f>'[1]Prévisions Entrées-Encaiss'!J29</f>
        <v>0</v>
      </c>
      <c r="K28" s="2">
        <f>'[1]Prévisions Entrées-Encaiss'!K29</f>
        <v>0</v>
      </c>
      <c r="L28" s="2">
        <f>'[1]Prévisions Entrées-Encaiss'!L29</f>
        <v>0</v>
      </c>
      <c r="M28" s="2">
        <f>'[1]Prévisions Entrées-Encaiss'!M29</f>
        <v>0</v>
      </c>
      <c r="N28" s="2">
        <f>'[1]Prévisions Entrées-Encaiss'!N29</f>
        <v>0</v>
      </c>
      <c r="O28" s="2"/>
      <c r="P28" s="2"/>
      <c r="Q28" s="2"/>
      <c r="R28" s="2"/>
    </row>
    <row r="29" spans="1:18" x14ac:dyDescent="0.25">
      <c r="A29" s="59"/>
      <c r="B29" s="7" t="s">
        <v>84</v>
      </c>
      <c r="C29" s="2">
        <f>'[1]Prévisions Entrées-Encaiss'!C30</f>
        <v>0</v>
      </c>
      <c r="D29" s="2">
        <f>'[1]Prévisions Entrées-Encaiss'!D30</f>
        <v>0</v>
      </c>
      <c r="E29" s="2">
        <f>'[1]Prévisions Entrées-Encaiss'!E30</f>
        <v>0</v>
      </c>
      <c r="F29" s="2">
        <f>'[1]Prévisions Entrées-Encaiss'!F30</f>
        <v>0</v>
      </c>
      <c r="G29" s="2">
        <f>'[1]Prévisions Entrées-Encaiss'!G30</f>
        <v>0</v>
      </c>
      <c r="H29" s="2">
        <f>'[1]Prévisions Entrées-Encaiss'!H30</f>
        <v>0</v>
      </c>
      <c r="I29" s="2">
        <f>'[1]Prévisions Entrées-Encaiss'!I30</f>
        <v>0</v>
      </c>
      <c r="J29" s="2">
        <f>'[1]Prévisions Entrées-Encaiss'!J30</f>
        <v>0</v>
      </c>
      <c r="K29" s="2">
        <f>'[1]Prévisions Entrées-Encaiss'!K30</f>
        <v>0</v>
      </c>
      <c r="L29" s="2">
        <f>'[1]Prévisions Entrées-Encaiss'!L30</f>
        <v>0</v>
      </c>
      <c r="M29" s="2">
        <f>'[1]Prévisions Entrées-Encaiss'!M30</f>
        <v>0</v>
      </c>
      <c r="N29" s="2">
        <f>'[1]Prévisions Entrées-Encaiss'!N30</f>
        <v>0</v>
      </c>
      <c r="O29" s="2"/>
      <c r="P29" s="2"/>
      <c r="Q29" s="2"/>
      <c r="R29" s="2"/>
    </row>
    <row r="30" spans="1:18" x14ac:dyDescent="0.25">
      <c r="A30" s="59"/>
      <c r="B30" s="7" t="s">
        <v>85</v>
      </c>
      <c r="C30" s="2">
        <f>'[1]Prévisions Entrées-Encaiss'!C31</f>
        <v>0</v>
      </c>
      <c r="D30" s="2">
        <f>'[1]Prévisions Entrées-Encaiss'!D31</f>
        <v>0</v>
      </c>
      <c r="E30" s="2">
        <f>'[1]Prévisions Entrées-Encaiss'!E31</f>
        <v>0</v>
      </c>
      <c r="F30" s="2">
        <f>'[1]Prévisions Entrées-Encaiss'!F31</f>
        <v>0</v>
      </c>
      <c r="G30" s="2">
        <f>'[1]Prévisions Entrées-Encaiss'!G31</f>
        <v>0</v>
      </c>
      <c r="H30" s="2">
        <f>'[1]Prévisions Entrées-Encaiss'!H31</f>
        <v>0</v>
      </c>
      <c r="I30" s="2">
        <f>'[1]Prévisions Entrées-Encaiss'!I31</f>
        <v>0</v>
      </c>
      <c r="J30" s="2">
        <f>'[1]Prévisions Entrées-Encaiss'!J31</f>
        <v>0</v>
      </c>
      <c r="K30" s="2">
        <f>'[1]Prévisions Entrées-Encaiss'!K31</f>
        <v>0</v>
      </c>
      <c r="L30" s="2">
        <f>'[1]Prévisions Entrées-Encaiss'!L31</f>
        <v>0</v>
      </c>
      <c r="M30" s="2">
        <f>'[1]Prévisions Entrées-Encaiss'!M31</f>
        <v>0</v>
      </c>
      <c r="N30" s="2">
        <f>'[1]Prévisions Entrées-Encaiss'!N31</f>
        <v>0</v>
      </c>
      <c r="O30" s="2"/>
      <c r="P30" s="2"/>
      <c r="Q30" s="2"/>
      <c r="R30" s="2"/>
    </row>
    <row r="31" spans="1:18" x14ac:dyDescent="0.25">
      <c r="A31" s="59"/>
      <c r="B31" s="7" t="s">
        <v>86</v>
      </c>
      <c r="C31" s="2">
        <f>'[1]Prévisions Entrées-Encaiss'!C32</f>
        <v>0</v>
      </c>
      <c r="D31" s="2">
        <f>'[1]Prévisions Entrées-Encaiss'!D32</f>
        <v>0</v>
      </c>
      <c r="E31" s="2">
        <f>'[1]Prévisions Entrées-Encaiss'!E32</f>
        <v>0</v>
      </c>
      <c r="F31" s="2">
        <f>'[1]Prévisions Entrées-Encaiss'!F32</f>
        <v>0</v>
      </c>
      <c r="G31" s="2">
        <f>'[1]Prévisions Entrées-Encaiss'!G32</f>
        <v>0</v>
      </c>
      <c r="H31" s="2">
        <f>'[1]Prévisions Entrées-Encaiss'!H32</f>
        <v>0</v>
      </c>
      <c r="I31" s="2">
        <f>'[1]Prévisions Entrées-Encaiss'!I32</f>
        <v>0</v>
      </c>
      <c r="J31" s="2">
        <f>'[1]Prévisions Entrées-Encaiss'!J32</f>
        <v>0</v>
      </c>
      <c r="K31" s="2">
        <f>'[1]Prévisions Entrées-Encaiss'!K32</f>
        <v>0</v>
      </c>
      <c r="L31" s="2">
        <f>'[1]Prévisions Entrées-Encaiss'!L32</f>
        <v>0</v>
      </c>
      <c r="M31" s="2">
        <f>'[1]Prévisions Entrées-Encaiss'!M32</f>
        <v>0</v>
      </c>
      <c r="N31" s="2">
        <f>'[1]Prévisions Entrées-Encaiss'!N32</f>
        <v>0</v>
      </c>
      <c r="O31" s="2"/>
      <c r="P31" s="2"/>
      <c r="Q31" s="2"/>
      <c r="R31" s="2"/>
    </row>
    <row r="32" spans="1:18" x14ac:dyDescent="0.25">
      <c r="A32" s="59"/>
      <c r="B32" s="7" t="s">
        <v>87</v>
      </c>
      <c r="C32" s="2">
        <f>'[1]Prévisions Entrées-Encaiss'!C33</f>
        <v>0</v>
      </c>
      <c r="D32" s="2">
        <f>'[1]Prévisions Entrées-Encaiss'!D33</f>
        <v>0</v>
      </c>
      <c r="E32" s="2">
        <f>'[1]Prévisions Entrées-Encaiss'!E33</f>
        <v>0</v>
      </c>
      <c r="F32" s="2">
        <f>'[1]Prévisions Entrées-Encaiss'!F33</f>
        <v>0</v>
      </c>
      <c r="G32" s="2">
        <f>'[1]Prévisions Entrées-Encaiss'!G33</f>
        <v>0</v>
      </c>
      <c r="H32" s="2">
        <f>'[1]Prévisions Entrées-Encaiss'!H33</f>
        <v>0</v>
      </c>
      <c r="I32" s="2">
        <f>'[1]Prévisions Entrées-Encaiss'!I33</f>
        <v>0</v>
      </c>
      <c r="J32" s="2">
        <f>'[1]Prévisions Entrées-Encaiss'!J33</f>
        <v>0</v>
      </c>
      <c r="K32" s="2">
        <f>'[1]Prévisions Entrées-Encaiss'!K33</f>
        <v>0</v>
      </c>
      <c r="L32" s="2">
        <f>'[1]Prévisions Entrées-Encaiss'!L33</f>
        <v>0</v>
      </c>
      <c r="M32" s="2">
        <f>'[1]Prévisions Entrées-Encaiss'!M33</f>
        <v>0</v>
      </c>
      <c r="N32" s="2">
        <f>'[1]Prévisions Entrées-Encaiss'!N33</f>
        <v>0</v>
      </c>
      <c r="O32" s="2"/>
      <c r="P32" s="2"/>
      <c r="Q32" s="2"/>
      <c r="R32" s="2"/>
    </row>
    <row r="33" spans="1:18" x14ac:dyDescent="0.25">
      <c r="A33" s="23"/>
      <c r="B33" s="7" t="s">
        <v>96</v>
      </c>
      <c r="C33" s="2">
        <f>'[1]Prévisions Entrées-Encaiss'!C34</f>
        <v>0</v>
      </c>
      <c r="D33" s="2">
        <f>'[1]Prévisions Entrées-Encaiss'!D34</f>
        <v>0</v>
      </c>
      <c r="E33" s="2">
        <f>'[1]Prévisions Entrées-Encaiss'!E34</f>
        <v>0</v>
      </c>
      <c r="F33" s="2">
        <f>'[1]Prévisions Entrées-Encaiss'!F34</f>
        <v>0</v>
      </c>
      <c r="G33" s="2">
        <f>'[1]Prévisions Entrées-Encaiss'!G34</f>
        <v>0</v>
      </c>
      <c r="H33" s="2">
        <f>'[1]Prévisions Entrées-Encaiss'!H34</f>
        <v>0</v>
      </c>
      <c r="I33" s="2">
        <f>'[1]Prévisions Entrées-Encaiss'!I34</f>
        <v>0</v>
      </c>
      <c r="J33" s="2">
        <f>'[1]Prévisions Entrées-Encaiss'!J34</f>
        <v>0</v>
      </c>
      <c r="K33" s="2">
        <f>'[1]Prévisions Entrées-Encaiss'!K34</f>
        <v>0</v>
      </c>
      <c r="L33" s="2">
        <f>'[1]Prévisions Entrées-Encaiss'!L34</f>
        <v>0</v>
      </c>
      <c r="M33" s="2">
        <f>'[1]Prévisions Entrées-Encaiss'!M34</f>
        <v>0</v>
      </c>
      <c r="N33" s="2">
        <f>'[1]Prévisions Entrées-Encaiss'!N34</f>
        <v>0</v>
      </c>
      <c r="O33" s="2"/>
      <c r="P33" s="2"/>
      <c r="Q33" s="2"/>
      <c r="R33" s="2"/>
    </row>
    <row r="34" spans="1:18" x14ac:dyDescent="0.25">
      <c r="A34" s="56" t="s">
        <v>107</v>
      </c>
      <c r="B34" s="57"/>
      <c r="C34" s="2">
        <f>'[1]Prévisions Entrées-Encaiss'!C35</f>
        <v>0</v>
      </c>
      <c r="D34" s="2">
        <f>'[1]Prévisions Entrées-Encaiss'!D35</f>
        <v>0</v>
      </c>
      <c r="E34" s="2">
        <f>'[1]Prévisions Entrées-Encaiss'!E35</f>
        <v>0</v>
      </c>
      <c r="F34" s="2">
        <f>'[1]Prévisions Entrées-Encaiss'!F35</f>
        <v>0</v>
      </c>
      <c r="G34" s="2">
        <f>'[1]Prévisions Entrées-Encaiss'!G35</f>
        <v>0</v>
      </c>
      <c r="H34" s="2">
        <f>'[1]Prévisions Entrées-Encaiss'!H35</f>
        <v>0</v>
      </c>
      <c r="I34" s="2">
        <f>'[1]Prévisions Entrées-Encaiss'!I35</f>
        <v>0</v>
      </c>
      <c r="J34" s="2">
        <f>'[1]Prévisions Entrées-Encaiss'!J35</f>
        <v>0</v>
      </c>
      <c r="K34" s="2">
        <f>'[1]Prévisions Entrées-Encaiss'!K35</f>
        <v>0</v>
      </c>
      <c r="L34" s="2">
        <f>'[1]Prévisions Entrées-Encaiss'!L35</f>
        <v>0</v>
      </c>
      <c r="M34" s="2">
        <f>'[1]Prévisions Entrées-Encaiss'!M35</f>
        <v>0</v>
      </c>
      <c r="N34" s="2">
        <f>'[1]Prévisions Entrées-Encaiss'!N35</f>
        <v>0</v>
      </c>
      <c r="O34" s="2"/>
      <c r="P34" s="2"/>
      <c r="Q34" s="2"/>
      <c r="R34" s="2"/>
    </row>
    <row r="35" spans="1:18" x14ac:dyDescent="0.25">
      <c r="A35" s="64" t="s">
        <v>108</v>
      </c>
      <c r="B35" s="65"/>
      <c r="C35" s="9">
        <f>SUM(C24:C34)</f>
        <v>0</v>
      </c>
      <c r="D35" s="9">
        <f t="shared" ref="D35:N35" si="0">SUM(D24:D34)</f>
        <v>0</v>
      </c>
      <c r="E35" s="9">
        <f t="shared" si="0"/>
        <v>0</v>
      </c>
      <c r="F35" s="9">
        <f t="shared" si="0"/>
        <v>0</v>
      </c>
      <c r="G35" s="9">
        <f t="shared" si="0"/>
        <v>0</v>
      </c>
      <c r="H35" s="9">
        <f t="shared" si="0"/>
        <v>0</v>
      </c>
      <c r="I35" s="9">
        <f t="shared" si="0"/>
        <v>0</v>
      </c>
      <c r="J35" s="9">
        <f t="shared" si="0"/>
        <v>0</v>
      </c>
      <c r="K35" s="9">
        <f t="shared" si="0"/>
        <v>0</v>
      </c>
      <c r="L35" s="9">
        <f t="shared" si="0"/>
        <v>0</v>
      </c>
      <c r="M35" s="9">
        <f t="shared" si="0"/>
        <v>0</v>
      </c>
      <c r="N35" s="9">
        <f t="shared" si="0"/>
        <v>0</v>
      </c>
      <c r="O35" s="2"/>
      <c r="P35" s="2"/>
      <c r="Q35" s="2"/>
      <c r="R35" s="2"/>
    </row>
    <row r="36" spans="1:18" x14ac:dyDescent="0.25">
      <c r="A36" s="66" t="s">
        <v>109</v>
      </c>
      <c r="B36" s="67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"/>
      <c r="P36" s="2"/>
      <c r="Q36" s="2"/>
      <c r="R36" s="2"/>
    </row>
    <row r="37" spans="1:18" x14ac:dyDescent="0.25">
      <c r="A37" s="68" t="s">
        <v>14</v>
      </c>
      <c r="B37" s="69"/>
      <c r="C37" s="15">
        <f>'Prévisions Dépenses-Décaiss'!C26</f>
        <v>0</v>
      </c>
      <c r="D37" s="15">
        <f>'Prévisions Dépenses-Décaiss'!D26</f>
        <v>0</v>
      </c>
      <c r="E37" s="15">
        <f>'Prévisions Dépenses-Décaiss'!E26</f>
        <v>0</v>
      </c>
      <c r="F37" s="15">
        <f>'Prévisions Dépenses-Décaiss'!F26</f>
        <v>0</v>
      </c>
      <c r="G37" s="15">
        <f>'Prévisions Dépenses-Décaiss'!G26</f>
        <v>0</v>
      </c>
      <c r="H37" s="15">
        <f>'Prévisions Dépenses-Décaiss'!H26</f>
        <v>0</v>
      </c>
      <c r="I37" s="15">
        <f>'Prévisions Dépenses-Décaiss'!I26</f>
        <v>0</v>
      </c>
      <c r="J37" s="15">
        <f>'Prévisions Dépenses-Décaiss'!J26</f>
        <v>0</v>
      </c>
      <c r="K37" s="15">
        <f>'Prévisions Dépenses-Décaiss'!K26</f>
        <v>0</v>
      </c>
      <c r="L37" s="15">
        <f>'Prévisions Dépenses-Décaiss'!L26</f>
        <v>0</v>
      </c>
      <c r="M37" s="15">
        <f>'Prévisions Dépenses-Décaiss'!M26</f>
        <v>0</v>
      </c>
      <c r="N37" s="15">
        <f>'Prévisions Dépenses-Décaiss'!N26</f>
        <v>0</v>
      </c>
      <c r="O37" s="2"/>
      <c r="P37" s="2"/>
      <c r="Q37" s="2"/>
      <c r="R37" s="2"/>
    </row>
    <row r="38" spans="1:18" x14ac:dyDescent="0.25">
      <c r="A38" s="68" t="s">
        <v>110</v>
      </c>
      <c r="B38" s="69"/>
      <c r="C38" s="15">
        <f>'[1]Prévisions Dépenses-Décaiss'!C27</f>
        <v>0</v>
      </c>
      <c r="D38" s="15">
        <f>'[1]Prévisions Dépenses-Décaiss'!D27</f>
        <v>0</v>
      </c>
      <c r="E38" s="15">
        <f>'[1]Prévisions Dépenses-Décaiss'!E27</f>
        <v>0</v>
      </c>
      <c r="F38" s="15">
        <f>'[1]Prévisions Dépenses-Décaiss'!F27</f>
        <v>0</v>
      </c>
      <c r="G38" s="15">
        <f>'[1]Prévisions Dépenses-Décaiss'!G27</f>
        <v>0</v>
      </c>
      <c r="H38" s="15">
        <f>'[1]Prévisions Dépenses-Décaiss'!H27</f>
        <v>0</v>
      </c>
      <c r="I38" s="15">
        <f>'[1]Prévisions Dépenses-Décaiss'!I27</f>
        <v>0</v>
      </c>
      <c r="J38" s="15">
        <f>'[1]Prévisions Dépenses-Décaiss'!J27</f>
        <v>0</v>
      </c>
      <c r="K38" s="15">
        <f>'[1]Prévisions Dépenses-Décaiss'!K27</f>
        <v>0</v>
      </c>
      <c r="L38" s="15">
        <f>'[1]Prévisions Dépenses-Décaiss'!L27</f>
        <v>0</v>
      </c>
      <c r="M38" s="15">
        <f>'[1]Prévisions Dépenses-Décaiss'!M27</f>
        <v>0</v>
      </c>
      <c r="N38" s="15">
        <f>'[1]Prévisions Dépenses-Décaiss'!N27</f>
        <v>0</v>
      </c>
      <c r="O38" s="2"/>
      <c r="P38" s="2"/>
      <c r="Q38" s="2"/>
      <c r="R38" s="2"/>
    </row>
    <row r="39" spans="1:18" x14ac:dyDescent="0.25">
      <c r="A39" s="68" t="s">
        <v>16</v>
      </c>
      <c r="B39" s="69"/>
      <c r="C39" s="15">
        <f>'[1]Prévisions Dépenses-Décaiss'!C28</f>
        <v>0</v>
      </c>
      <c r="D39" s="15">
        <f>'[1]Prévisions Dépenses-Décaiss'!D28</f>
        <v>0</v>
      </c>
      <c r="E39" s="15">
        <f>'[1]Prévisions Dépenses-Décaiss'!E28</f>
        <v>0</v>
      </c>
      <c r="F39" s="15">
        <f>'[1]Prévisions Dépenses-Décaiss'!F28</f>
        <v>0</v>
      </c>
      <c r="G39" s="15">
        <f>'[1]Prévisions Dépenses-Décaiss'!G28</f>
        <v>0</v>
      </c>
      <c r="H39" s="15">
        <f>'[1]Prévisions Dépenses-Décaiss'!H28</f>
        <v>0</v>
      </c>
      <c r="I39" s="15">
        <f>'[1]Prévisions Dépenses-Décaiss'!I28</f>
        <v>0</v>
      </c>
      <c r="J39" s="15">
        <f>'[1]Prévisions Dépenses-Décaiss'!J28</f>
        <v>0</v>
      </c>
      <c r="K39" s="15">
        <f>'[1]Prévisions Dépenses-Décaiss'!K28</f>
        <v>0</v>
      </c>
      <c r="L39" s="15">
        <f>'[1]Prévisions Dépenses-Décaiss'!L28</f>
        <v>0</v>
      </c>
      <c r="M39" s="15">
        <f>'[1]Prévisions Dépenses-Décaiss'!M28</f>
        <v>0</v>
      </c>
      <c r="N39" s="15">
        <f>'[1]Prévisions Dépenses-Décaiss'!N28</f>
        <v>0</v>
      </c>
      <c r="O39" s="2"/>
      <c r="P39" s="2"/>
      <c r="Q39" s="2"/>
      <c r="R39" s="2"/>
    </row>
    <row r="40" spans="1:18" ht="15" customHeight="1" x14ac:dyDescent="0.25">
      <c r="A40" s="68" t="s">
        <v>17</v>
      </c>
      <c r="B40" s="69"/>
      <c r="C40" s="15">
        <f>'[1]Prévisions Dépenses-Décaiss'!C29</f>
        <v>0</v>
      </c>
      <c r="D40" s="15">
        <f>'[1]Prévisions Dépenses-Décaiss'!D29</f>
        <v>0</v>
      </c>
      <c r="E40" s="15">
        <f>'[1]Prévisions Dépenses-Décaiss'!E29</f>
        <v>0</v>
      </c>
      <c r="F40" s="15">
        <f>'[1]Prévisions Dépenses-Décaiss'!F29</f>
        <v>0</v>
      </c>
      <c r="G40" s="15">
        <f>'[1]Prévisions Dépenses-Décaiss'!G29</f>
        <v>0</v>
      </c>
      <c r="H40" s="15">
        <f>'[1]Prévisions Dépenses-Décaiss'!H29</f>
        <v>0</v>
      </c>
      <c r="I40" s="15">
        <f>'[1]Prévisions Dépenses-Décaiss'!I29</f>
        <v>0</v>
      </c>
      <c r="J40" s="15">
        <f>'[1]Prévisions Dépenses-Décaiss'!J29</f>
        <v>0</v>
      </c>
      <c r="K40" s="15">
        <f>'[1]Prévisions Dépenses-Décaiss'!K29</f>
        <v>0</v>
      </c>
      <c r="L40" s="15">
        <f>'[1]Prévisions Dépenses-Décaiss'!L29</f>
        <v>0</v>
      </c>
      <c r="M40" s="15">
        <f>'[1]Prévisions Dépenses-Décaiss'!M29</f>
        <v>0</v>
      </c>
      <c r="N40" s="15">
        <f>'[1]Prévisions Dépenses-Décaiss'!N29</f>
        <v>0</v>
      </c>
      <c r="O40" s="2"/>
      <c r="P40" s="2"/>
      <c r="Q40" s="2"/>
      <c r="R40" s="2"/>
    </row>
    <row r="41" spans="1:18" x14ac:dyDescent="0.25">
      <c r="A41" s="68" t="s">
        <v>18</v>
      </c>
      <c r="B41" s="69"/>
      <c r="C41" s="15">
        <f>'[1]Prévisions Dépenses-Décaiss'!C30</f>
        <v>0</v>
      </c>
      <c r="D41" s="15">
        <f>'[1]Prévisions Dépenses-Décaiss'!D30</f>
        <v>0</v>
      </c>
      <c r="E41" s="15">
        <f>'[1]Prévisions Dépenses-Décaiss'!E30</f>
        <v>0</v>
      </c>
      <c r="F41" s="15">
        <f>'[1]Prévisions Dépenses-Décaiss'!F30</f>
        <v>0</v>
      </c>
      <c r="G41" s="15">
        <f>'[1]Prévisions Dépenses-Décaiss'!G30</f>
        <v>0</v>
      </c>
      <c r="H41" s="15">
        <f>'[1]Prévisions Dépenses-Décaiss'!H30</f>
        <v>0</v>
      </c>
      <c r="I41" s="15">
        <f>'[1]Prévisions Dépenses-Décaiss'!I30</f>
        <v>0</v>
      </c>
      <c r="J41" s="15">
        <f>'[1]Prévisions Dépenses-Décaiss'!J30</f>
        <v>0</v>
      </c>
      <c r="K41" s="15">
        <f>'[1]Prévisions Dépenses-Décaiss'!K30</f>
        <v>0</v>
      </c>
      <c r="L41" s="15">
        <f>'[1]Prévisions Dépenses-Décaiss'!L30</f>
        <v>0</v>
      </c>
      <c r="M41" s="15">
        <f>'[1]Prévisions Dépenses-Décaiss'!M30</f>
        <v>0</v>
      </c>
      <c r="N41" s="15">
        <f>'[1]Prévisions Dépenses-Décaiss'!N30</f>
        <v>0</v>
      </c>
      <c r="O41" s="2"/>
      <c r="P41" s="2"/>
      <c r="Q41" s="2"/>
      <c r="R41" s="2"/>
    </row>
    <row r="42" spans="1:18" x14ac:dyDescent="0.25">
      <c r="A42" s="70" t="s">
        <v>111</v>
      </c>
      <c r="B42" s="25" t="s">
        <v>112</v>
      </c>
      <c r="C42" s="15">
        <f>'[1]Prévisions Dépenses-Décaiss'!C32</f>
        <v>0</v>
      </c>
      <c r="D42" s="15">
        <f>'[1]Prévisions Dépenses-Décaiss'!D32</f>
        <v>0</v>
      </c>
      <c r="E42" s="15">
        <f>'[1]Prévisions Dépenses-Décaiss'!E32</f>
        <v>0</v>
      </c>
      <c r="F42" s="15">
        <f>'[1]Prévisions Dépenses-Décaiss'!F32</f>
        <v>0</v>
      </c>
      <c r="G42" s="15">
        <f>'[1]Prévisions Dépenses-Décaiss'!G32</f>
        <v>0</v>
      </c>
      <c r="H42" s="15">
        <f>'[1]Prévisions Dépenses-Décaiss'!H32</f>
        <v>0</v>
      </c>
      <c r="I42" s="15">
        <f>'[1]Prévisions Dépenses-Décaiss'!I32</f>
        <v>0</v>
      </c>
      <c r="J42" s="15">
        <f>'[1]Prévisions Dépenses-Décaiss'!J32</f>
        <v>0</v>
      </c>
      <c r="K42" s="15">
        <f>'[1]Prévisions Dépenses-Décaiss'!K32</f>
        <v>0</v>
      </c>
      <c r="L42" s="15">
        <f>'[1]Prévisions Dépenses-Décaiss'!L32</f>
        <v>0</v>
      </c>
      <c r="M42" s="15">
        <f>'[1]Prévisions Dépenses-Décaiss'!M32</f>
        <v>0</v>
      </c>
      <c r="N42" s="15">
        <f>'[1]Prévisions Dépenses-Décaiss'!N32</f>
        <v>0</v>
      </c>
      <c r="O42" s="2"/>
      <c r="P42" s="2"/>
      <c r="Q42" s="2"/>
      <c r="R42" s="2"/>
    </row>
    <row r="43" spans="1:18" x14ac:dyDescent="0.25">
      <c r="A43" s="71"/>
      <c r="B43" s="25" t="s">
        <v>113</v>
      </c>
      <c r="C43" s="15">
        <f>'[1]Prévisions Dépenses-Décaiss'!C33</f>
        <v>0</v>
      </c>
      <c r="D43" s="15">
        <f>'[1]Prévisions Dépenses-Décaiss'!D33</f>
        <v>0</v>
      </c>
      <c r="E43" s="15">
        <f>'[1]Prévisions Dépenses-Décaiss'!E33</f>
        <v>0</v>
      </c>
      <c r="F43" s="15">
        <f>'[1]Prévisions Dépenses-Décaiss'!F33</f>
        <v>0</v>
      </c>
      <c r="G43" s="15">
        <f>'[1]Prévisions Dépenses-Décaiss'!G33</f>
        <v>0</v>
      </c>
      <c r="H43" s="15">
        <f>'[1]Prévisions Dépenses-Décaiss'!H33</f>
        <v>0</v>
      </c>
      <c r="I43" s="15">
        <f>'[1]Prévisions Dépenses-Décaiss'!I33</f>
        <v>0</v>
      </c>
      <c r="J43" s="15">
        <f>'[1]Prévisions Dépenses-Décaiss'!J33</f>
        <v>0</v>
      </c>
      <c r="K43" s="15">
        <f>'[1]Prévisions Dépenses-Décaiss'!K33</f>
        <v>0</v>
      </c>
      <c r="L43" s="15">
        <f>'[1]Prévisions Dépenses-Décaiss'!L33</f>
        <v>0</v>
      </c>
      <c r="M43" s="15">
        <f>'[1]Prévisions Dépenses-Décaiss'!M33</f>
        <v>0</v>
      </c>
      <c r="N43" s="15">
        <f>'[1]Prévisions Dépenses-Décaiss'!N33</f>
        <v>0</v>
      </c>
      <c r="O43" s="2"/>
      <c r="P43" s="2"/>
      <c r="Q43" s="2"/>
      <c r="R43" s="2"/>
    </row>
    <row r="44" spans="1:18" x14ac:dyDescent="0.25">
      <c r="A44" s="72"/>
      <c r="B44" s="25" t="s">
        <v>114</v>
      </c>
      <c r="C44" s="15">
        <f>'[1]Prévisions Dépenses-Décaiss'!C34</f>
        <v>0</v>
      </c>
      <c r="D44" s="15">
        <f>'[1]Prévisions Dépenses-Décaiss'!D34</f>
        <v>0</v>
      </c>
      <c r="E44" s="15">
        <f>'[1]Prévisions Dépenses-Décaiss'!E34</f>
        <v>0</v>
      </c>
      <c r="F44" s="15">
        <f>'[1]Prévisions Dépenses-Décaiss'!F34</f>
        <v>0</v>
      </c>
      <c r="G44" s="15">
        <f>'[1]Prévisions Dépenses-Décaiss'!G34</f>
        <v>0</v>
      </c>
      <c r="H44" s="15">
        <f>'[1]Prévisions Dépenses-Décaiss'!H34</f>
        <v>0</v>
      </c>
      <c r="I44" s="15">
        <f>'[1]Prévisions Dépenses-Décaiss'!I34</f>
        <v>0</v>
      </c>
      <c r="J44" s="15">
        <f>'[1]Prévisions Dépenses-Décaiss'!J34</f>
        <v>0</v>
      </c>
      <c r="K44" s="15">
        <f>'[1]Prévisions Dépenses-Décaiss'!K34</f>
        <v>0</v>
      </c>
      <c r="L44" s="15">
        <f>'[1]Prévisions Dépenses-Décaiss'!L34</f>
        <v>0</v>
      </c>
      <c r="M44" s="15">
        <f>'[1]Prévisions Dépenses-Décaiss'!M34</f>
        <v>0</v>
      </c>
      <c r="N44" s="15">
        <f>'[1]Prévisions Dépenses-Décaiss'!N34</f>
        <v>0</v>
      </c>
      <c r="O44" s="2"/>
      <c r="P44" s="2"/>
      <c r="Q44" s="2"/>
      <c r="R44" s="2"/>
    </row>
    <row r="45" spans="1:18" x14ac:dyDescent="0.25">
      <c r="A45" s="68" t="s">
        <v>24</v>
      </c>
      <c r="B45" s="69"/>
      <c r="C45" s="15">
        <f>'[1]Prévisions Dépenses-Décaiss'!C35</f>
        <v>0</v>
      </c>
      <c r="D45" s="15">
        <f>'[1]Prévisions Dépenses-Décaiss'!D35</f>
        <v>0</v>
      </c>
      <c r="E45" s="15">
        <f>'[1]Prévisions Dépenses-Décaiss'!E35</f>
        <v>0</v>
      </c>
      <c r="F45" s="15">
        <f>'[1]Prévisions Dépenses-Décaiss'!F35</f>
        <v>0</v>
      </c>
      <c r="G45" s="15">
        <f>'[1]Prévisions Dépenses-Décaiss'!G35</f>
        <v>0</v>
      </c>
      <c r="H45" s="15">
        <f>'[1]Prévisions Dépenses-Décaiss'!H35</f>
        <v>0</v>
      </c>
      <c r="I45" s="15">
        <f>'[1]Prévisions Dépenses-Décaiss'!I35</f>
        <v>0</v>
      </c>
      <c r="J45" s="15">
        <f>'[1]Prévisions Dépenses-Décaiss'!J35</f>
        <v>0</v>
      </c>
      <c r="K45" s="15">
        <f>'[1]Prévisions Dépenses-Décaiss'!K35</f>
        <v>0</v>
      </c>
      <c r="L45" s="15">
        <f>'[1]Prévisions Dépenses-Décaiss'!L35</f>
        <v>0</v>
      </c>
      <c r="M45" s="15">
        <f>'[1]Prévisions Dépenses-Décaiss'!M35</f>
        <v>0</v>
      </c>
      <c r="N45" s="15">
        <f>'[1]Prévisions Dépenses-Décaiss'!N35</f>
        <v>0</v>
      </c>
      <c r="O45" s="2"/>
      <c r="P45" s="2"/>
      <c r="Q45" s="2"/>
      <c r="R45" s="2"/>
    </row>
    <row r="46" spans="1:18" x14ac:dyDescent="0.25">
      <c r="A46" s="68" t="s">
        <v>25</v>
      </c>
      <c r="B46" s="69"/>
      <c r="C46" s="15">
        <f>'[1]Prévisions Dépenses-Décaiss'!C36</f>
        <v>0</v>
      </c>
      <c r="D46" s="15">
        <f>'[1]Prévisions Dépenses-Décaiss'!D36</f>
        <v>0</v>
      </c>
      <c r="E46" s="15">
        <f>'[1]Prévisions Dépenses-Décaiss'!E36</f>
        <v>0</v>
      </c>
      <c r="F46" s="15">
        <f>'[1]Prévisions Dépenses-Décaiss'!F36</f>
        <v>0</v>
      </c>
      <c r="G46" s="15">
        <f>'[1]Prévisions Dépenses-Décaiss'!G36</f>
        <v>0</v>
      </c>
      <c r="H46" s="15">
        <f>'[1]Prévisions Dépenses-Décaiss'!H36</f>
        <v>0</v>
      </c>
      <c r="I46" s="15">
        <f>'[1]Prévisions Dépenses-Décaiss'!I36</f>
        <v>0</v>
      </c>
      <c r="J46" s="15">
        <f>'[1]Prévisions Dépenses-Décaiss'!J36</f>
        <v>0</v>
      </c>
      <c r="K46" s="15">
        <f>'[1]Prévisions Dépenses-Décaiss'!K36</f>
        <v>0</v>
      </c>
      <c r="L46" s="15">
        <f>'[1]Prévisions Dépenses-Décaiss'!L36</f>
        <v>0</v>
      </c>
      <c r="M46" s="15">
        <f>'[1]Prévisions Dépenses-Décaiss'!M36</f>
        <v>0</v>
      </c>
      <c r="N46" s="15">
        <f>'[1]Prévisions Dépenses-Décaiss'!N36</f>
        <v>0</v>
      </c>
      <c r="O46" s="2"/>
      <c r="P46" s="2"/>
      <c r="Q46" s="2"/>
      <c r="R46" s="2"/>
    </row>
    <row r="47" spans="1:18" x14ac:dyDescent="0.25">
      <c r="A47" s="62" t="s">
        <v>115</v>
      </c>
      <c r="B47" s="63"/>
      <c r="C47" s="9">
        <f>SUM(C37:C46)</f>
        <v>0</v>
      </c>
      <c r="D47" s="9">
        <f t="shared" ref="D47:N47" si="1">SUM(D37:D46)</f>
        <v>0</v>
      </c>
      <c r="E47" s="9">
        <f t="shared" si="1"/>
        <v>0</v>
      </c>
      <c r="F47" s="9">
        <f t="shared" si="1"/>
        <v>0</v>
      </c>
      <c r="G47" s="9">
        <f t="shared" si="1"/>
        <v>0</v>
      </c>
      <c r="H47" s="9">
        <f t="shared" si="1"/>
        <v>0</v>
      </c>
      <c r="I47" s="9">
        <f t="shared" si="1"/>
        <v>0</v>
      </c>
      <c r="J47" s="9">
        <f t="shared" si="1"/>
        <v>0</v>
      </c>
      <c r="K47" s="9">
        <f t="shared" si="1"/>
        <v>0</v>
      </c>
      <c r="L47" s="9">
        <f t="shared" si="1"/>
        <v>0</v>
      </c>
      <c r="M47" s="9">
        <f t="shared" si="1"/>
        <v>0</v>
      </c>
      <c r="N47" s="9">
        <f t="shared" si="1"/>
        <v>0</v>
      </c>
      <c r="O47" s="2"/>
      <c r="P47" s="2"/>
      <c r="Q47" s="2"/>
      <c r="R47" s="2"/>
    </row>
    <row r="48" spans="1:18" x14ac:dyDescent="0.25">
      <c r="A48" s="50" t="s">
        <v>116</v>
      </c>
      <c r="B48" s="50"/>
      <c r="C48" s="26"/>
      <c r="D48" s="27">
        <f>C52</f>
        <v>0</v>
      </c>
      <c r="E48" s="27">
        <f>D52</f>
        <v>0</v>
      </c>
      <c r="F48" s="27">
        <f t="shared" ref="F48:N48" si="2">E52</f>
        <v>0</v>
      </c>
      <c r="G48" s="26">
        <f t="shared" si="2"/>
        <v>0</v>
      </c>
      <c r="H48" s="27">
        <f t="shared" si="2"/>
        <v>0</v>
      </c>
      <c r="I48" s="27">
        <f t="shared" si="2"/>
        <v>0</v>
      </c>
      <c r="J48" s="27">
        <f t="shared" si="2"/>
        <v>0</v>
      </c>
      <c r="K48" s="26">
        <f t="shared" si="2"/>
        <v>0</v>
      </c>
      <c r="L48" s="27">
        <f t="shared" si="2"/>
        <v>0</v>
      </c>
      <c r="M48" s="27">
        <f t="shared" si="2"/>
        <v>0</v>
      </c>
      <c r="N48" s="27">
        <f t="shared" si="2"/>
        <v>0</v>
      </c>
      <c r="O48" s="2"/>
      <c r="P48" s="2"/>
      <c r="Q48" s="2"/>
      <c r="R48" s="2"/>
    </row>
    <row r="49" spans="1:29" x14ac:dyDescent="0.25">
      <c r="A49" s="60" t="s">
        <v>106</v>
      </c>
      <c r="B49" s="61"/>
      <c r="C49" s="27">
        <f>C35</f>
        <v>0</v>
      </c>
      <c r="D49" s="27">
        <f t="shared" ref="D49:N49" si="3">D35</f>
        <v>0</v>
      </c>
      <c r="E49" s="27">
        <f t="shared" si="3"/>
        <v>0</v>
      </c>
      <c r="F49" s="27">
        <f t="shared" si="3"/>
        <v>0</v>
      </c>
      <c r="G49" s="27">
        <f t="shared" si="3"/>
        <v>0</v>
      </c>
      <c r="H49" s="27">
        <f t="shared" si="3"/>
        <v>0</v>
      </c>
      <c r="I49" s="27">
        <f t="shared" si="3"/>
        <v>0</v>
      </c>
      <c r="J49" s="27">
        <f t="shared" si="3"/>
        <v>0</v>
      </c>
      <c r="K49" s="27">
        <f t="shared" si="3"/>
        <v>0</v>
      </c>
      <c r="L49" s="27">
        <f t="shared" si="3"/>
        <v>0</v>
      </c>
      <c r="M49" s="27">
        <f t="shared" si="3"/>
        <v>0</v>
      </c>
      <c r="N49" s="27">
        <f t="shared" si="3"/>
        <v>0</v>
      </c>
      <c r="O49" s="2"/>
      <c r="P49" s="2"/>
      <c r="Q49" s="2"/>
      <c r="R49" s="2"/>
    </row>
    <row r="50" spans="1:29" x14ac:dyDescent="0.25">
      <c r="A50" s="50" t="s">
        <v>109</v>
      </c>
      <c r="B50" s="50"/>
      <c r="C50" s="18">
        <f>C47</f>
        <v>0</v>
      </c>
      <c r="D50" s="18">
        <f t="shared" ref="D50:N50" si="4">D47</f>
        <v>0</v>
      </c>
      <c r="E50" s="18">
        <f t="shared" si="4"/>
        <v>0</v>
      </c>
      <c r="F50" s="18">
        <f t="shared" si="4"/>
        <v>0</v>
      </c>
      <c r="G50" s="18">
        <f t="shared" si="4"/>
        <v>0</v>
      </c>
      <c r="H50" s="18">
        <f t="shared" si="4"/>
        <v>0</v>
      </c>
      <c r="I50" s="18">
        <f t="shared" si="4"/>
        <v>0</v>
      </c>
      <c r="J50" s="18">
        <f t="shared" si="4"/>
        <v>0</v>
      </c>
      <c r="K50" s="18">
        <f t="shared" si="4"/>
        <v>0</v>
      </c>
      <c r="L50" s="18">
        <f t="shared" si="4"/>
        <v>0</v>
      </c>
      <c r="M50" s="18">
        <f t="shared" si="4"/>
        <v>0</v>
      </c>
      <c r="N50" s="18">
        <f t="shared" si="4"/>
        <v>0</v>
      </c>
      <c r="O50" s="2"/>
      <c r="P50" s="2"/>
      <c r="Q50" s="2"/>
      <c r="R50" s="2"/>
    </row>
    <row r="51" spans="1:29" x14ac:dyDescent="0.25">
      <c r="A51" s="50" t="s">
        <v>117</v>
      </c>
      <c r="B51" s="50"/>
      <c r="C51" s="18">
        <f>C49-C50</f>
        <v>0</v>
      </c>
      <c r="D51" s="18">
        <f t="shared" ref="D51:N51" si="5">D49-D50</f>
        <v>0</v>
      </c>
      <c r="E51" s="18">
        <f t="shared" si="5"/>
        <v>0</v>
      </c>
      <c r="F51" s="18">
        <f t="shared" si="5"/>
        <v>0</v>
      </c>
      <c r="G51" s="18">
        <f t="shared" si="5"/>
        <v>0</v>
      </c>
      <c r="H51" s="18">
        <f t="shared" si="5"/>
        <v>0</v>
      </c>
      <c r="I51" s="18">
        <f t="shared" si="5"/>
        <v>0</v>
      </c>
      <c r="J51" s="18">
        <f t="shared" si="5"/>
        <v>0</v>
      </c>
      <c r="K51" s="18">
        <f t="shared" si="5"/>
        <v>0</v>
      </c>
      <c r="L51" s="18">
        <f t="shared" si="5"/>
        <v>0</v>
      </c>
      <c r="M51" s="18">
        <f t="shared" si="5"/>
        <v>0</v>
      </c>
      <c r="N51" s="18">
        <f t="shared" si="5"/>
        <v>0</v>
      </c>
      <c r="O51" s="2"/>
      <c r="P51" s="2"/>
      <c r="Q51" s="2"/>
      <c r="R51" s="2"/>
    </row>
    <row r="52" spans="1:29" x14ac:dyDescent="0.25">
      <c r="A52" s="50" t="s">
        <v>118</v>
      </c>
      <c r="B52" s="50"/>
      <c r="C52" s="18">
        <f>C48+C51</f>
        <v>0</v>
      </c>
      <c r="D52" s="18">
        <f t="shared" ref="D52:N52" si="6">D48+D51</f>
        <v>0</v>
      </c>
      <c r="E52" s="18">
        <f t="shared" si="6"/>
        <v>0</v>
      </c>
      <c r="F52" s="28">
        <f t="shared" si="6"/>
        <v>0</v>
      </c>
      <c r="G52" s="18">
        <f t="shared" si="6"/>
        <v>0</v>
      </c>
      <c r="H52" s="18">
        <f t="shared" si="6"/>
        <v>0</v>
      </c>
      <c r="I52" s="18">
        <f t="shared" si="6"/>
        <v>0</v>
      </c>
      <c r="J52" s="28">
        <f t="shared" si="6"/>
        <v>0</v>
      </c>
      <c r="K52" s="18">
        <f>K48+K51</f>
        <v>0</v>
      </c>
      <c r="L52" s="18">
        <f>L48+L51</f>
        <v>0</v>
      </c>
      <c r="M52" s="18">
        <f t="shared" si="6"/>
        <v>0</v>
      </c>
      <c r="N52" s="28">
        <f t="shared" si="6"/>
        <v>0</v>
      </c>
      <c r="O52" s="2"/>
      <c r="P52" s="2"/>
      <c r="Q52" s="2"/>
      <c r="R52" s="2"/>
    </row>
    <row r="53" spans="1:29" x14ac:dyDescent="0.25">
      <c r="A53" t="s">
        <v>30</v>
      </c>
      <c r="K53" t="s">
        <v>46</v>
      </c>
      <c r="O53" s="2"/>
      <c r="P53" s="2"/>
      <c r="Q53" s="2"/>
      <c r="R53" s="2"/>
      <c r="U53" t="s">
        <v>31</v>
      </c>
      <c r="AC53" t="s">
        <v>32</v>
      </c>
    </row>
    <row r="54" spans="1:29" x14ac:dyDescent="0.25">
      <c r="D54" t="s">
        <v>46</v>
      </c>
      <c r="O54" s="2"/>
      <c r="P54" s="2"/>
      <c r="Q54" s="2"/>
      <c r="R54" s="2"/>
    </row>
    <row r="55" spans="1:29" x14ac:dyDescent="0.25">
      <c r="C55" s="2"/>
      <c r="M55" s="2"/>
      <c r="O55" s="2"/>
      <c r="P55" s="2"/>
      <c r="Q55" s="2"/>
      <c r="R55" s="2"/>
    </row>
    <row r="56" spans="1:29" x14ac:dyDescent="0.25">
      <c r="O56" s="2"/>
      <c r="P56" s="2"/>
      <c r="Q56" s="2"/>
      <c r="R56" s="2"/>
    </row>
    <row r="57" spans="1:29" ht="28.5" customHeight="1" x14ac:dyDescent="0.25">
      <c r="A57" s="43" t="s">
        <v>0</v>
      </c>
      <c r="B57" s="44"/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44</v>
      </c>
      <c r="N57" t="s">
        <v>45</v>
      </c>
      <c r="O57" s="2"/>
      <c r="P57" s="2"/>
      <c r="Q57" s="2"/>
      <c r="R57" s="2"/>
    </row>
    <row r="58" spans="1:29" x14ac:dyDescent="0.25">
      <c r="A58" s="73" t="s">
        <v>106</v>
      </c>
      <c r="B58" s="74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"/>
      <c r="P58" s="2"/>
      <c r="Q58" s="2"/>
      <c r="R58" s="2"/>
    </row>
    <row r="59" spans="1:29" x14ac:dyDescent="0.25">
      <c r="A59" s="58" t="s">
        <v>78</v>
      </c>
      <c r="B59" s="1" t="s">
        <v>79</v>
      </c>
      <c r="C59" s="15">
        <f>'[1]Prévisions Entrées-Encaiss'!C42</f>
        <v>0</v>
      </c>
      <c r="D59" s="15">
        <f>'[1]Prévisions Entrées-Encaiss'!D42</f>
        <v>0</v>
      </c>
      <c r="E59" s="15">
        <f>'[1]Prévisions Entrées-Encaiss'!E42</f>
        <v>0</v>
      </c>
      <c r="F59" s="15">
        <f>'[1]Prévisions Entrées-Encaiss'!F42</f>
        <v>0</v>
      </c>
      <c r="G59" s="15">
        <f>'[1]Prévisions Entrées-Encaiss'!G42</f>
        <v>0</v>
      </c>
      <c r="H59" s="15">
        <f>'[1]Prévisions Entrées-Encaiss'!H42</f>
        <v>0</v>
      </c>
      <c r="I59" s="15">
        <f>'[1]Prévisions Entrées-Encaiss'!I42</f>
        <v>0</v>
      </c>
      <c r="J59" s="15">
        <f>'[1]Prévisions Entrées-Encaiss'!J42</f>
        <v>0</v>
      </c>
      <c r="K59" s="15">
        <f>'[1]Prévisions Entrées-Encaiss'!K42</f>
        <v>0</v>
      </c>
      <c r="L59" s="15">
        <f>'[1]Prévisions Entrées-Encaiss'!L42</f>
        <v>0</v>
      </c>
      <c r="M59" s="15">
        <f>'[1]Prévisions Entrées-Encaiss'!M42</f>
        <v>0</v>
      </c>
      <c r="N59" s="15">
        <f>'[1]Prévisions Entrées-Encaiss'!N42</f>
        <v>0</v>
      </c>
      <c r="O59" s="2"/>
      <c r="P59" s="2"/>
      <c r="Q59" s="2"/>
      <c r="R59" s="2"/>
      <c r="W59" t="s">
        <v>46</v>
      </c>
    </row>
    <row r="60" spans="1:29" x14ac:dyDescent="0.25">
      <c r="A60" s="59"/>
      <c r="B60" s="1" t="s">
        <v>80</v>
      </c>
      <c r="C60" s="15">
        <f>'[1]Prévisions Entrées-Encaiss'!C43</f>
        <v>0</v>
      </c>
      <c r="D60" s="15">
        <f>'[1]Prévisions Entrées-Encaiss'!D43</f>
        <v>0</v>
      </c>
      <c r="E60" s="15">
        <f>'[1]Prévisions Entrées-Encaiss'!E43</f>
        <v>0</v>
      </c>
      <c r="F60" s="15">
        <f>'[1]Prévisions Entrées-Encaiss'!F43</f>
        <v>0</v>
      </c>
      <c r="G60" s="15">
        <f>'[1]Prévisions Entrées-Encaiss'!G43</f>
        <v>0</v>
      </c>
      <c r="H60" s="15">
        <f>'[1]Prévisions Entrées-Encaiss'!H43</f>
        <v>0</v>
      </c>
      <c r="I60" s="15">
        <f>'[1]Prévisions Entrées-Encaiss'!I43</f>
        <v>0</v>
      </c>
      <c r="J60" s="15">
        <f>'[1]Prévisions Entrées-Encaiss'!J43</f>
        <v>0</v>
      </c>
      <c r="K60" s="15">
        <f>'[1]Prévisions Entrées-Encaiss'!K43</f>
        <v>0</v>
      </c>
      <c r="L60" s="15">
        <f>'[1]Prévisions Entrées-Encaiss'!L43</f>
        <v>0</v>
      </c>
      <c r="M60" s="15">
        <f>'[1]Prévisions Entrées-Encaiss'!M43</f>
        <v>0</v>
      </c>
      <c r="N60" s="15">
        <f>'[1]Prévisions Entrées-Encaiss'!N43</f>
        <v>0</v>
      </c>
      <c r="O60" s="2"/>
      <c r="P60" s="2"/>
      <c r="Q60" s="2"/>
      <c r="R60" s="2"/>
      <c r="Y60" t="s">
        <v>119</v>
      </c>
    </row>
    <row r="61" spans="1:29" x14ac:dyDescent="0.25">
      <c r="A61" s="59"/>
      <c r="B61" s="1" t="s">
        <v>81</v>
      </c>
      <c r="C61" s="15">
        <f>'[1]Prévisions Entrées-Encaiss'!C44</f>
        <v>0</v>
      </c>
      <c r="D61" s="15">
        <f>'[1]Prévisions Entrées-Encaiss'!D44</f>
        <v>0</v>
      </c>
      <c r="E61" s="15">
        <f>'[1]Prévisions Entrées-Encaiss'!E44</f>
        <v>0</v>
      </c>
      <c r="F61" s="15">
        <f>'[1]Prévisions Entrées-Encaiss'!F44</f>
        <v>0</v>
      </c>
      <c r="G61" s="15">
        <f>'[1]Prévisions Entrées-Encaiss'!G44</f>
        <v>0</v>
      </c>
      <c r="H61" s="15">
        <f>'[1]Prévisions Entrées-Encaiss'!H44</f>
        <v>0</v>
      </c>
      <c r="I61" s="15">
        <f>'[1]Prévisions Entrées-Encaiss'!I44</f>
        <v>0</v>
      </c>
      <c r="J61" s="15">
        <f>'[1]Prévisions Entrées-Encaiss'!J44</f>
        <v>0</v>
      </c>
      <c r="K61" s="15">
        <f>'[1]Prévisions Entrées-Encaiss'!K44</f>
        <v>0</v>
      </c>
      <c r="L61" s="15">
        <f>'[1]Prévisions Entrées-Encaiss'!L44</f>
        <v>0</v>
      </c>
      <c r="M61" s="15">
        <f>'[1]Prévisions Entrées-Encaiss'!M44</f>
        <v>0</v>
      </c>
      <c r="N61" s="15">
        <f>'[1]Prévisions Entrées-Encaiss'!N44</f>
        <v>0</v>
      </c>
      <c r="O61" s="2"/>
      <c r="P61" s="2"/>
      <c r="Q61" s="2"/>
      <c r="R61" s="2"/>
    </row>
    <row r="62" spans="1:29" x14ac:dyDescent="0.25">
      <c r="A62" s="59"/>
      <c r="B62" s="1" t="s">
        <v>82</v>
      </c>
      <c r="C62" s="15">
        <f>'[1]Prévisions Entrées-Encaiss'!C45</f>
        <v>0</v>
      </c>
      <c r="D62" s="15">
        <f>'[1]Prévisions Entrées-Encaiss'!D45</f>
        <v>0</v>
      </c>
      <c r="E62" s="15">
        <f>'[1]Prévisions Entrées-Encaiss'!E45</f>
        <v>0</v>
      </c>
      <c r="F62" s="15">
        <f>'[1]Prévisions Entrées-Encaiss'!F45</f>
        <v>0</v>
      </c>
      <c r="G62" s="15">
        <f>'[1]Prévisions Entrées-Encaiss'!G45</f>
        <v>0</v>
      </c>
      <c r="H62" s="15">
        <f>'[1]Prévisions Entrées-Encaiss'!H45</f>
        <v>0</v>
      </c>
      <c r="I62" s="15">
        <f>'[1]Prévisions Entrées-Encaiss'!I45</f>
        <v>0</v>
      </c>
      <c r="J62" s="15">
        <f>'[1]Prévisions Entrées-Encaiss'!J45</f>
        <v>0</v>
      </c>
      <c r="K62" s="15">
        <f>'[1]Prévisions Entrées-Encaiss'!K45</f>
        <v>0</v>
      </c>
      <c r="L62" s="15">
        <f>'[1]Prévisions Entrées-Encaiss'!L45</f>
        <v>0</v>
      </c>
      <c r="M62" s="15">
        <f>'[1]Prévisions Entrées-Encaiss'!M45</f>
        <v>0</v>
      </c>
      <c r="N62" s="15">
        <f>'[1]Prévisions Entrées-Encaiss'!N45</f>
        <v>0</v>
      </c>
      <c r="O62" s="2"/>
      <c r="P62" s="2"/>
      <c r="Q62" s="2"/>
      <c r="R62" s="2"/>
      <c r="U62" t="s">
        <v>46</v>
      </c>
    </row>
    <row r="63" spans="1:29" x14ac:dyDescent="0.25">
      <c r="A63" s="59"/>
      <c r="B63" s="1" t="s">
        <v>83</v>
      </c>
      <c r="C63" s="15">
        <f>'[1]Prévisions Entrées-Encaiss'!C46</f>
        <v>0</v>
      </c>
      <c r="D63" s="15">
        <f>'[1]Prévisions Entrées-Encaiss'!D46</f>
        <v>0</v>
      </c>
      <c r="E63" s="15">
        <f>'[1]Prévisions Entrées-Encaiss'!E46</f>
        <v>0</v>
      </c>
      <c r="F63" s="15">
        <f>'[1]Prévisions Entrées-Encaiss'!F46</f>
        <v>0</v>
      </c>
      <c r="G63" s="15">
        <f>'[1]Prévisions Entrées-Encaiss'!G46</f>
        <v>0</v>
      </c>
      <c r="H63" s="15">
        <f>'[1]Prévisions Entrées-Encaiss'!H46</f>
        <v>0</v>
      </c>
      <c r="I63" s="15">
        <f>'[1]Prévisions Entrées-Encaiss'!I46</f>
        <v>0</v>
      </c>
      <c r="J63" s="15">
        <f>'[1]Prévisions Entrées-Encaiss'!J46</f>
        <v>0</v>
      </c>
      <c r="K63" s="15">
        <f>'[1]Prévisions Entrées-Encaiss'!K46</f>
        <v>0</v>
      </c>
      <c r="L63" s="15">
        <f>'[1]Prévisions Entrées-Encaiss'!L46</f>
        <v>0</v>
      </c>
      <c r="M63" s="15">
        <f>'[1]Prévisions Entrées-Encaiss'!M46</f>
        <v>0</v>
      </c>
      <c r="N63" s="15">
        <f>'[1]Prévisions Entrées-Encaiss'!N46</f>
        <v>0</v>
      </c>
      <c r="O63" s="2"/>
      <c r="P63" s="2"/>
      <c r="Q63" s="2"/>
      <c r="R63" s="2"/>
    </row>
    <row r="64" spans="1:29" x14ac:dyDescent="0.25">
      <c r="A64" s="59"/>
      <c r="B64" s="7" t="s">
        <v>84</v>
      </c>
      <c r="C64" s="15">
        <f>'[1]Prévisions Entrées-Encaiss'!C47</f>
        <v>0</v>
      </c>
      <c r="D64" s="15">
        <f>'[1]Prévisions Entrées-Encaiss'!D47</f>
        <v>0</v>
      </c>
      <c r="E64" s="15">
        <f>'[1]Prévisions Entrées-Encaiss'!E47</f>
        <v>0</v>
      </c>
      <c r="F64" s="15">
        <f>'[1]Prévisions Entrées-Encaiss'!F47</f>
        <v>0</v>
      </c>
      <c r="G64" s="15">
        <f>'[1]Prévisions Entrées-Encaiss'!G47</f>
        <v>0</v>
      </c>
      <c r="H64" s="15">
        <f>'[1]Prévisions Entrées-Encaiss'!H47</f>
        <v>0</v>
      </c>
      <c r="I64" s="15">
        <f>'[1]Prévisions Entrées-Encaiss'!I47</f>
        <v>0</v>
      </c>
      <c r="J64" s="15">
        <f>'[1]Prévisions Entrées-Encaiss'!J47</f>
        <v>0</v>
      </c>
      <c r="K64" s="15">
        <f>'[1]Prévisions Entrées-Encaiss'!K47</f>
        <v>0</v>
      </c>
      <c r="L64" s="15">
        <f>'[1]Prévisions Entrées-Encaiss'!L47</f>
        <v>0</v>
      </c>
      <c r="M64" s="15">
        <f>'[1]Prévisions Entrées-Encaiss'!M47</f>
        <v>0</v>
      </c>
      <c r="N64" s="15">
        <f>'[1]Prévisions Entrées-Encaiss'!N47</f>
        <v>0</v>
      </c>
      <c r="O64" s="2"/>
      <c r="P64" s="2"/>
      <c r="Q64" s="2"/>
      <c r="R64" s="2"/>
    </row>
    <row r="65" spans="1:18" x14ac:dyDescent="0.25">
      <c r="A65" s="59"/>
      <c r="B65" s="7" t="s">
        <v>85</v>
      </c>
      <c r="C65" s="15">
        <f>'[1]Prévisions Entrées-Encaiss'!C48</f>
        <v>0</v>
      </c>
      <c r="D65" s="15">
        <f>'[1]Prévisions Entrées-Encaiss'!D48</f>
        <v>0</v>
      </c>
      <c r="E65" s="15">
        <f>'[1]Prévisions Entrées-Encaiss'!E48</f>
        <v>0</v>
      </c>
      <c r="F65" s="15">
        <f>'[1]Prévisions Entrées-Encaiss'!F48</f>
        <v>0</v>
      </c>
      <c r="G65" s="15">
        <f>'[1]Prévisions Entrées-Encaiss'!G48</f>
        <v>0</v>
      </c>
      <c r="H65" s="15">
        <f>'[1]Prévisions Entrées-Encaiss'!H48</f>
        <v>0</v>
      </c>
      <c r="I65" s="15">
        <f>'[1]Prévisions Entrées-Encaiss'!I48</f>
        <v>0</v>
      </c>
      <c r="J65" s="15">
        <f>'[1]Prévisions Entrées-Encaiss'!J48</f>
        <v>0</v>
      </c>
      <c r="K65" s="15">
        <f>'[1]Prévisions Entrées-Encaiss'!K48</f>
        <v>0</v>
      </c>
      <c r="L65" s="15">
        <f>'[1]Prévisions Entrées-Encaiss'!L48</f>
        <v>0</v>
      </c>
      <c r="M65" s="15">
        <f>'[1]Prévisions Entrées-Encaiss'!M48</f>
        <v>0</v>
      </c>
      <c r="N65" s="15">
        <f>'[1]Prévisions Entrées-Encaiss'!N48</f>
        <v>0</v>
      </c>
      <c r="O65" s="2"/>
      <c r="P65" s="2"/>
      <c r="Q65" s="2"/>
      <c r="R65" s="2"/>
    </row>
    <row r="66" spans="1:18" x14ac:dyDescent="0.25">
      <c r="A66" s="59"/>
      <c r="B66" s="7" t="s">
        <v>120</v>
      </c>
      <c r="C66" s="15">
        <f>'[1]Prévisions Entrées-Encaiss'!C49</f>
        <v>0</v>
      </c>
      <c r="D66" s="15">
        <f>'[1]Prévisions Entrées-Encaiss'!D49</f>
        <v>0</v>
      </c>
      <c r="E66" s="15">
        <f>'[1]Prévisions Entrées-Encaiss'!E49</f>
        <v>0</v>
      </c>
      <c r="F66" s="15">
        <f>'[1]Prévisions Entrées-Encaiss'!F49</f>
        <v>0</v>
      </c>
      <c r="G66" s="15">
        <f>'[1]Prévisions Entrées-Encaiss'!G49</f>
        <v>0</v>
      </c>
      <c r="H66" s="15">
        <f>'[1]Prévisions Entrées-Encaiss'!H49</f>
        <v>0</v>
      </c>
      <c r="I66" s="15">
        <f>'[1]Prévisions Entrées-Encaiss'!I49</f>
        <v>0</v>
      </c>
      <c r="J66" s="15">
        <f>'[1]Prévisions Entrées-Encaiss'!J49</f>
        <v>0</v>
      </c>
      <c r="K66" s="15">
        <f>'[1]Prévisions Entrées-Encaiss'!K49</f>
        <v>0</v>
      </c>
      <c r="L66" s="15">
        <f>'[1]Prévisions Entrées-Encaiss'!L49</f>
        <v>0</v>
      </c>
      <c r="M66" s="15">
        <f>'[1]Prévisions Entrées-Encaiss'!M49</f>
        <v>0</v>
      </c>
      <c r="N66" s="15">
        <f>'[1]Prévisions Entrées-Encaiss'!N49</f>
        <v>0</v>
      </c>
      <c r="O66" s="2"/>
      <c r="P66" s="2"/>
      <c r="Q66" s="2"/>
      <c r="R66" s="2"/>
    </row>
    <row r="67" spans="1:18" x14ac:dyDescent="0.25">
      <c r="A67" s="59"/>
      <c r="B67" s="7" t="s">
        <v>87</v>
      </c>
      <c r="C67" s="15">
        <f>'[1]Prévisions Entrées-Encaiss'!C50</f>
        <v>0</v>
      </c>
      <c r="D67" s="15">
        <f>'[1]Prévisions Entrées-Encaiss'!D50</f>
        <v>0</v>
      </c>
      <c r="E67" s="15">
        <f>'[1]Prévisions Entrées-Encaiss'!E50</f>
        <v>0</v>
      </c>
      <c r="F67" s="15">
        <f>'[1]Prévisions Entrées-Encaiss'!F50</f>
        <v>0</v>
      </c>
      <c r="G67" s="15">
        <f>'[1]Prévisions Entrées-Encaiss'!G50</f>
        <v>0</v>
      </c>
      <c r="H67" s="15">
        <f>'[1]Prévisions Entrées-Encaiss'!H50</f>
        <v>0</v>
      </c>
      <c r="I67" s="15">
        <f>'[1]Prévisions Entrées-Encaiss'!I50</f>
        <v>0</v>
      </c>
      <c r="J67" s="15">
        <f>'[1]Prévisions Entrées-Encaiss'!J50</f>
        <v>0</v>
      </c>
      <c r="K67" s="15">
        <f>'[1]Prévisions Entrées-Encaiss'!K50</f>
        <v>0</v>
      </c>
      <c r="L67" s="15">
        <f>'[1]Prévisions Entrées-Encaiss'!L50</f>
        <v>0</v>
      </c>
      <c r="M67" s="15">
        <f>'[1]Prévisions Entrées-Encaiss'!M50</f>
        <v>0</v>
      </c>
      <c r="N67" s="15">
        <f>'[1]Prévisions Entrées-Encaiss'!N50</f>
        <v>0</v>
      </c>
      <c r="O67" s="2"/>
      <c r="P67" s="2"/>
      <c r="Q67" s="2"/>
      <c r="R67" s="2"/>
    </row>
    <row r="68" spans="1:18" x14ac:dyDescent="0.25">
      <c r="A68" s="59"/>
      <c r="B68" s="7" t="s">
        <v>96</v>
      </c>
      <c r="C68" s="15">
        <f>'[1]Prévisions Entrées-Encaiss'!C51</f>
        <v>0</v>
      </c>
      <c r="D68" s="15">
        <f>'[1]Prévisions Entrées-Encaiss'!D51</f>
        <v>0</v>
      </c>
      <c r="E68" s="15">
        <f>'[1]Prévisions Entrées-Encaiss'!E51</f>
        <v>0</v>
      </c>
      <c r="F68" s="15">
        <f>'[1]Prévisions Entrées-Encaiss'!F51</f>
        <v>0</v>
      </c>
      <c r="G68" s="15">
        <f>'[1]Prévisions Entrées-Encaiss'!G51</f>
        <v>0</v>
      </c>
      <c r="H68" s="15">
        <f>'[1]Prévisions Entrées-Encaiss'!H51</f>
        <v>0</v>
      </c>
      <c r="I68" s="15">
        <f>'[1]Prévisions Entrées-Encaiss'!I51</f>
        <v>0</v>
      </c>
      <c r="J68" s="15">
        <f>'[1]Prévisions Entrées-Encaiss'!J51</f>
        <v>0</v>
      </c>
      <c r="K68" s="15">
        <f>'[1]Prévisions Entrées-Encaiss'!K51</f>
        <v>0</v>
      </c>
      <c r="L68" s="15">
        <f>'[1]Prévisions Entrées-Encaiss'!L51</f>
        <v>0</v>
      </c>
      <c r="M68" s="15">
        <f>'[1]Prévisions Entrées-Encaiss'!M51</f>
        <v>0</v>
      </c>
      <c r="N68" s="15">
        <f>'[1]Prévisions Entrées-Encaiss'!N51</f>
        <v>0</v>
      </c>
      <c r="O68" s="2"/>
      <c r="P68" s="2"/>
      <c r="Q68" s="2"/>
      <c r="R68" s="2"/>
    </row>
    <row r="69" spans="1:18" x14ac:dyDescent="0.25">
      <c r="A69" s="56" t="s">
        <v>107</v>
      </c>
      <c r="B69" s="57"/>
      <c r="C69" s="15">
        <f>'[1]Prévisions Entrées-Encaiss'!C52</f>
        <v>0</v>
      </c>
      <c r="D69" s="15">
        <f>'[1]Prévisions Entrées-Encaiss'!D52</f>
        <v>0</v>
      </c>
      <c r="E69" s="15">
        <f>'[1]Prévisions Entrées-Encaiss'!E52</f>
        <v>0</v>
      </c>
      <c r="F69" s="15">
        <f>'[1]Prévisions Entrées-Encaiss'!F52</f>
        <v>0</v>
      </c>
      <c r="G69" s="15">
        <f>'[1]Prévisions Entrées-Encaiss'!G52</f>
        <v>0</v>
      </c>
      <c r="H69" s="15">
        <f>'[1]Prévisions Entrées-Encaiss'!H52</f>
        <v>0</v>
      </c>
      <c r="I69" s="15">
        <f>'[1]Prévisions Entrées-Encaiss'!I52</f>
        <v>0</v>
      </c>
      <c r="J69" s="15">
        <f>'[1]Prévisions Entrées-Encaiss'!J52</f>
        <v>0</v>
      </c>
      <c r="K69" s="15">
        <f>'[1]Prévisions Entrées-Encaiss'!K52</f>
        <v>0</v>
      </c>
      <c r="L69" s="15">
        <f>'[1]Prévisions Entrées-Encaiss'!L52</f>
        <v>0</v>
      </c>
      <c r="M69" s="15">
        <f>'[1]Prévisions Entrées-Encaiss'!M52</f>
        <v>0</v>
      </c>
      <c r="N69" s="15">
        <f>'[1]Prévisions Entrées-Encaiss'!N52</f>
        <v>0</v>
      </c>
      <c r="O69" s="2"/>
      <c r="P69" s="2"/>
      <c r="Q69" s="2"/>
      <c r="R69" s="2"/>
    </row>
    <row r="70" spans="1:18" x14ac:dyDescent="0.25">
      <c r="A70" s="64" t="s">
        <v>108</v>
      </c>
      <c r="B70" s="65"/>
      <c r="C70" s="29">
        <f>SUM(C59:C69)</f>
        <v>0</v>
      </c>
      <c r="D70" s="29">
        <f t="shared" ref="D70:N70" si="7">SUM(D59:D69)</f>
        <v>0</v>
      </c>
      <c r="E70" s="29">
        <f t="shared" si="7"/>
        <v>0</v>
      </c>
      <c r="F70" s="29">
        <f t="shared" si="7"/>
        <v>0</v>
      </c>
      <c r="G70" s="29">
        <f t="shared" si="7"/>
        <v>0</v>
      </c>
      <c r="H70" s="29">
        <f t="shared" si="7"/>
        <v>0</v>
      </c>
      <c r="I70" s="29">
        <f t="shared" si="7"/>
        <v>0</v>
      </c>
      <c r="J70" s="29">
        <f t="shared" si="7"/>
        <v>0</v>
      </c>
      <c r="K70" s="29">
        <f t="shared" si="7"/>
        <v>0</v>
      </c>
      <c r="L70" s="29">
        <f t="shared" si="7"/>
        <v>0</v>
      </c>
      <c r="M70" s="29">
        <f t="shared" si="7"/>
        <v>0</v>
      </c>
      <c r="N70" s="29">
        <f t="shared" si="7"/>
        <v>0</v>
      </c>
      <c r="O70" s="2"/>
      <c r="P70" s="2"/>
      <c r="Q70" s="2"/>
      <c r="R70" s="2"/>
    </row>
    <row r="71" spans="1:18" x14ac:dyDescent="0.25">
      <c r="A71" s="66" t="s">
        <v>109</v>
      </c>
      <c r="B71" s="67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2"/>
      <c r="P71" s="2"/>
      <c r="Q71" s="2"/>
      <c r="R71" s="2"/>
    </row>
    <row r="72" spans="1:18" x14ac:dyDescent="0.25">
      <c r="A72" s="68" t="s">
        <v>14</v>
      </c>
      <c r="B72" s="69"/>
      <c r="C72" s="15">
        <f>'[1]Prévisions Dépenses-Décaiss'!C44</f>
        <v>0</v>
      </c>
      <c r="D72" s="15">
        <f>'[1]Prévisions Dépenses-Décaiss'!D44</f>
        <v>0</v>
      </c>
      <c r="E72" s="15">
        <f>'[1]Prévisions Dépenses-Décaiss'!E44</f>
        <v>0</v>
      </c>
      <c r="F72" s="15">
        <f>'[1]Prévisions Dépenses-Décaiss'!F44</f>
        <v>0</v>
      </c>
      <c r="G72" s="15">
        <f>'[1]Prévisions Dépenses-Décaiss'!G44</f>
        <v>0</v>
      </c>
      <c r="H72" s="15">
        <f>'[1]Prévisions Dépenses-Décaiss'!H44</f>
        <v>0</v>
      </c>
      <c r="I72" s="15">
        <f>'[1]Prévisions Dépenses-Décaiss'!I44</f>
        <v>0</v>
      </c>
      <c r="J72" s="15">
        <f>'[1]Prévisions Dépenses-Décaiss'!J44</f>
        <v>0</v>
      </c>
      <c r="K72" s="15">
        <f>'[1]Prévisions Dépenses-Décaiss'!K44</f>
        <v>0</v>
      </c>
      <c r="L72" s="15">
        <f>'[1]Prévisions Dépenses-Décaiss'!L44</f>
        <v>0</v>
      </c>
      <c r="M72" s="15">
        <f>'[1]Prévisions Dépenses-Décaiss'!M44</f>
        <v>0</v>
      </c>
      <c r="N72" s="15">
        <f>'[1]Prévisions Dépenses-Décaiss'!N44</f>
        <v>0</v>
      </c>
      <c r="O72" s="2"/>
      <c r="P72" s="2"/>
      <c r="Q72" s="2"/>
      <c r="R72" s="2"/>
    </row>
    <row r="73" spans="1:18" x14ac:dyDescent="0.25">
      <c r="A73" s="68" t="s">
        <v>15</v>
      </c>
      <c r="B73" s="69"/>
      <c r="C73" s="15">
        <f>'[1]Prévisions Dépenses-Décaiss'!C45</f>
        <v>0</v>
      </c>
      <c r="D73" s="15">
        <f>'[1]Prévisions Dépenses-Décaiss'!D45</f>
        <v>0</v>
      </c>
      <c r="E73" s="15">
        <f>'[1]Prévisions Dépenses-Décaiss'!E45</f>
        <v>0</v>
      </c>
      <c r="F73" s="15">
        <f>'[1]Prévisions Dépenses-Décaiss'!F45</f>
        <v>0</v>
      </c>
      <c r="G73" s="15">
        <f>'[1]Prévisions Dépenses-Décaiss'!G45</f>
        <v>0</v>
      </c>
      <c r="H73" s="15">
        <f>'[1]Prévisions Dépenses-Décaiss'!H45</f>
        <v>0</v>
      </c>
      <c r="I73" s="15">
        <f>'[1]Prévisions Dépenses-Décaiss'!I45</f>
        <v>0</v>
      </c>
      <c r="J73" s="15">
        <f>'[1]Prévisions Dépenses-Décaiss'!J45</f>
        <v>0</v>
      </c>
      <c r="K73" s="15">
        <f>'[1]Prévisions Dépenses-Décaiss'!K45</f>
        <v>0</v>
      </c>
      <c r="L73" s="15">
        <f>'[1]Prévisions Dépenses-Décaiss'!L45</f>
        <v>0</v>
      </c>
      <c r="M73" s="15">
        <f>'[1]Prévisions Dépenses-Décaiss'!M45</f>
        <v>0</v>
      </c>
      <c r="N73" s="15">
        <f>'[1]Prévisions Dépenses-Décaiss'!N45</f>
        <v>0</v>
      </c>
      <c r="O73" s="2"/>
      <c r="P73" s="2"/>
      <c r="Q73" s="2"/>
      <c r="R73" s="2"/>
    </row>
    <row r="74" spans="1:18" x14ac:dyDescent="0.25">
      <c r="A74" s="68" t="s">
        <v>16</v>
      </c>
      <c r="B74" s="69"/>
      <c r="C74" s="15">
        <f>'[1]Prévisions Dépenses-Décaiss'!C46</f>
        <v>0</v>
      </c>
      <c r="D74" s="15">
        <f>'[1]Prévisions Dépenses-Décaiss'!D46</f>
        <v>0</v>
      </c>
      <c r="E74" s="15">
        <f>'[1]Prévisions Dépenses-Décaiss'!E46</f>
        <v>0</v>
      </c>
      <c r="F74" s="15">
        <f>'[1]Prévisions Dépenses-Décaiss'!F46</f>
        <v>0</v>
      </c>
      <c r="G74" s="15">
        <f>'[1]Prévisions Dépenses-Décaiss'!G46</f>
        <v>0</v>
      </c>
      <c r="H74" s="15">
        <f>'[1]Prévisions Dépenses-Décaiss'!H46</f>
        <v>0</v>
      </c>
      <c r="I74" s="15">
        <f>'[1]Prévisions Dépenses-Décaiss'!I46</f>
        <v>0</v>
      </c>
      <c r="J74" s="15">
        <f>'[1]Prévisions Dépenses-Décaiss'!J46</f>
        <v>0</v>
      </c>
      <c r="K74" s="15">
        <f>'[1]Prévisions Dépenses-Décaiss'!K46</f>
        <v>0</v>
      </c>
      <c r="L74" s="15">
        <f>'[1]Prévisions Dépenses-Décaiss'!L46</f>
        <v>0</v>
      </c>
      <c r="M74" s="15">
        <f>'[1]Prévisions Dépenses-Décaiss'!M46</f>
        <v>0</v>
      </c>
      <c r="N74" s="15">
        <f>'[1]Prévisions Dépenses-Décaiss'!N46</f>
        <v>0</v>
      </c>
      <c r="O74" s="2"/>
      <c r="P74" s="2"/>
      <c r="Q74" s="2"/>
      <c r="R74" s="2"/>
    </row>
    <row r="75" spans="1:18" x14ac:dyDescent="0.25">
      <c r="A75" s="68" t="s">
        <v>17</v>
      </c>
      <c r="B75" s="69"/>
      <c r="C75" s="15">
        <f>'[1]Prévisions Dépenses-Décaiss'!C47</f>
        <v>0</v>
      </c>
      <c r="D75" s="15">
        <f>'[1]Prévisions Dépenses-Décaiss'!D47</f>
        <v>0</v>
      </c>
      <c r="E75" s="15">
        <f>'[1]Prévisions Dépenses-Décaiss'!E47</f>
        <v>0</v>
      </c>
      <c r="F75" s="15">
        <f>'[1]Prévisions Dépenses-Décaiss'!F47</f>
        <v>0</v>
      </c>
      <c r="G75" s="15">
        <f>'[1]Prévisions Dépenses-Décaiss'!G47</f>
        <v>0</v>
      </c>
      <c r="H75" s="15">
        <f>'[1]Prévisions Dépenses-Décaiss'!H47</f>
        <v>0</v>
      </c>
      <c r="I75" s="15">
        <f>'[1]Prévisions Dépenses-Décaiss'!I47</f>
        <v>0</v>
      </c>
      <c r="J75" s="15">
        <f>'[1]Prévisions Dépenses-Décaiss'!J47</f>
        <v>0</v>
      </c>
      <c r="K75" s="15">
        <f>'[1]Prévisions Dépenses-Décaiss'!K47</f>
        <v>0</v>
      </c>
      <c r="L75" s="15">
        <f>'[1]Prévisions Dépenses-Décaiss'!L47</f>
        <v>0</v>
      </c>
      <c r="M75" s="15">
        <f>'[1]Prévisions Dépenses-Décaiss'!M47</f>
        <v>0</v>
      </c>
      <c r="N75" s="15">
        <f>'[1]Prévisions Dépenses-Décaiss'!N47</f>
        <v>0</v>
      </c>
      <c r="O75" s="2"/>
      <c r="P75" s="2"/>
      <c r="Q75" s="2"/>
      <c r="R75" s="2"/>
    </row>
    <row r="76" spans="1:18" x14ac:dyDescent="0.25">
      <c r="A76" s="68" t="s">
        <v>18</v>
      </c>
      <c r="B76" s="69"/>
      <c r="C76" s="15">
        <f>'[1]Prévisions Dépenses-Décaiss'!C48</f>
        <v>0</v>
      </c>
      <c r="D76" s="15">
        <f>'[1]Prévisions Dépenses-Décaiss'!D48</f>
        <v>0</v>
      </c>
      <c r="E76" s="15">
        <f>'[1]Prévisions Dépenses-Décaiss'!E48</f>
        <v>0</v>
      </c>
      <c r="F76" s="15">
        <f>'[1]Prévisions Dépenses-Décaiss'!F48</f>
        <v>0</v>
      </c>
      <c r="G76" s="15">
        <f>'[1]Prévisions Dépenses-Décaiss'!G48</f>
        <v>0</v>
      </c>
      <c r="H76" s="15">
        <f>'[1]Prévisions Dépenses-Décaiss'!H48</f>
        <v>0</v>
      </c>
      <c r="I76" s="15">
        <f>'[1]Prévisions Dépenses-Décaiss'!I48</f>
        <v>0</v>
      </c>
      <c r="J76" s="15">
        <f>'[1]Prévisions Dépenses-Décaiss'!J48</f>
        <v>0</v>
      </c>
      <c r="K76" s="15">
        <f>'[1]Prévisions Dépenses-Décaiss'!K48</f>
        <v>0</v>
      </c>
      <c r="L76" s="15">
        <f>'[1]Prévisions Dépenses-Décaiss'!L48</f>
        <v>0</v>
      </c>
      <c r="M76" s="15">
        <f>'[1]Prévisions Dépenses-Décaiss'!M48</f>
        <v>0</v>
      </c>
      <c r="N76" s="15">
        <f>'[1]Prévisions Dépenses-Décaiss'!N48</f>
        <v>0</v>
      </c>
      <c r="O76" s="2"/>
      <c r="P76" s="2"/>
      <c r="Q76" s="2"/>
      <c r="R76" s="2"/>
    </row>
    <row r="77" spans="1:18" x14ac:dyDescent="0.25">
      <c r="A77" s="70" t="s">
        <v>111</v>
      </c>
      <c r="B77" s="31" t="s">
        <v>112</v>
      </c>
      <c r="C77" s="15">
        <f>'[1]Prévisions Dépenses-Décaiss'!C50</f>
        <v>0</v>
      </c>
      <c r="D77" s="15">
        <f>'[1]Prévisions Dépenses-Décaiss'!D50</f>
        <v>0</v>
      </c>
      <c r="E77" s="15">
        <f>'[1]Prévisions Dépenses-Décaiss'!E50</f>
        <v>0</v>
      </c>
      <c r="F77" s="15">
        <f>'[1]Prévisions Dépenses-Décaiss'!F50</f>
        <v>0</v>
      </c>
      <c r="G77" s="15">
        <f>'[1]Prévisions Dépenses-Décaiss'!G50</f>
        <v>0</v>
      </c>
      <c r="H77" s="15">
        <f>'[1]Prévisions Dépenses-Décaiss'!H50</f>
        <v>0</v>
      </c>
      <c r="I77" s="15">
        <f>'[1]Prévisions Dépenses-Décaiss'!I50</f>
        <v>0</v>
      </c>
      <c r="J77" s="15">
        <f>'[1]Prévisions Dépenses-Décaiss'!J50</f>
        <v>0</v>
      </c>
      <c r="K77" s="15">
        <f>'[1]Prévisions Dépenses-Décaiss'!K50</f>
        <v>0</v>
      </c>
      <c r="L77" s="15">
        <f>'[1]Prévisions Dépenses-Décaiss'!L50</f>
        <v>0</v>
      </c>
      <c r="M77" s="15">
        <f>'[1]Prévisions Dépenses-Décaiss'!M50</f>
        <v>0</v>
      </c>
      <c r="N77" s="15">
        <f>'[1]Prévisions Dépenses-Décaiss'!N50</f>
        <v>0</v>
      </c>
      <c r="O77" s="2"/>
      <c r="P77" s="2"/>
      <c r="Q77" s="2"/>
      <c r="R77" s="2"/>
    </row>
    <row r="78" spans="1:18" x14ac:dyDescent="0.25">
      <c r="A78" s="71"/>
      <c r="B78" s="31" t="s">
        <v>113</v>
      </c>
      <c r="C78" s="15">
        <f>'[1]Prévisions Dépenses-Décaiss'!C51</f>
        <v>0</v>
      </c>
      <c r="D78" s="15">
        <f>'[1]Prévisions Dépenses-Décaiss'!D51</f>
        <v>0</v>
      </c>
      <c r="E78" s="15">
        <f>'[1]Prévisions Dépenses-Décaiss'!E51</f>
        <v>0</v>
      </c>
      <c r="F78" s="15">
        <f>'[1]Prévisions Dépenses-Décaiss'!F51</f>
        <v>0</v>
      </c>
      <c r="G78" s="15">
        <f>'[1]Prévisions Dépenses-Décaiss'!G51</f>
        <v>0</v>
      </c>
      <c r="H78" s="15">
        <f>'[1]Prévisions Dépenses-Décaiss'!H51</f>
        <v>0</v>
      </c>
      <c r="I78" s="15">
        <f>'[1]Prévisions Dépenses-Décaiss'!I51</f>
        <v>0</v>
      </c>
      <c r="J78" s="15">
        <f>'[1]Prévisions Dépenses-Décaiss'!J51</f>
        <v>0</v>
      </c>
      <c r="K78" s="15">
        <f>'[1]Prévisions Dépenses-Décaiss'!K51</f>
        <v>0</v>
      </c>
      <c r="L78" s="15">
        <f>'[1]Prévisions Dépenses-Décaiss'!L51</f>
        <v>0</v>
      </c>
      <c r="M78" s="15">
        <f>'[1]Prévisions Dépenses-Décaiss'!M51</f>
        <v>0</v>
      </c>
      <c r="N78" s="15">
        <f>'[1]Prévisions Dépenses-Décaiss'!N51</f>
        <v>0</v>
      </c>
      <c r="O78" s="2"/>
      <c r="P78" s="2"/>
      <c r="Q78" s="2"/>
      <c r="R78" s="2"/>
    </row>
    <row r="79" spans="1:18" x14ac:dyDescent="0.25">
      <c r="A79" s="72"/>
      <c r="B79" s="32" t="s">
        <v>114</v>
      </c>
      <c r="C79" s="15">
        <f>'[1]Prévisions Dépenses-Décaiss'!C52</f>
        <v>0</v>
      </c>
      <c r="D79" s="15">
        <f>'[1]Prévisions Dépenses-Décaiss'!D52</f>
        <v>0</v>
      </c>
      <c r="E79" s="15">
        <f>'[1]Prévisions Dépenses-Décaiss'!E52</f>
        <v>0</v>
      </c>
      <c r="F79" s="15">
        <f>'[1]Prévisions Dépenses-Décaiss'!F52</f>
        <v>0</v>
      </c>
      <c r="G79" s="15">
        <f>'[1]Prévisions Dépenses-Décaiss'!G52</f>
        <v>0</v>
      </c>
      <c r="H79" s="15">
        <f>'[1]Prévisions Dépenses-Décaiss'!H52</f>
        <v>0</v>
      </c>
      <c r="I79" s="15">
        <f>'[1]Prévisions Dépenses-Décaiss'!I52</f>
        <v>0</v>
      </c>
      <c r="J79" s="15">
        <f>'[1]Prévisions Dépenses-Décaiss'!J52</f>
        <v>0</v>
      </c>
      <c r="K79" s="15">
        <f>'[1]Prévisions Dépenses-Décaiss'!K52</f>
        <v>0</v>
      </c>
      <c r="L79" s="15">
        <f>'[1]Prévisions Dépenses-Décaiss'!L52</f>
        <v>0</v>
      </c>
      <c r="M79" s="15">
        <f>'[1]Prévisions Dépenses-Décaiss'!M52</f>
        <v>0</v>
      </c>
      <c r="N79" s="15">
        <f>'[1]Prévisions Dépenses-Décaiss'!N52</f>
        <v>0</v>
      </c>
      <c r="O79" s="2"/>
      <c r="P79" s="2"/>
      <c r="Q79" s="2"/>
      <c r="R79" s="2"/>
    </row>
    <row r="80" spans="1:18" x14ac:dyDescent="0.25">
      <c r="A80" s="68" t="s">
        <v>24</v>
      </c>
      <c r="B80" s="69"/>
      <c r="C80" s="15">
        <f>'[1]Prévisions Dépenses-Décaiss'!C53</f>
        <v>0</v>
      </c>
      <c r="D80" s="15">
        <f>'[1]Prévisions Dépenses-Décaiss'!D53</f>
        <v>0</v>
      </c>
      <c r="E80" s="15">
        <f>'[1]Prévisions Dépenses-Décaiss'!E53</f>
        <v>0</v>
      </c>
      <c r="F80" s="15">
        <f>'[1]Prévisions Dépenses-Décaiss'!F53</f>
        <v>0</v>
      </c>
      <c r="G80" s="15">
        <f>'[1]Prévisions Dépenses-Décaiss'!G53</f>
        <v>0</v>
      </c>
      <c r="H80" s="15">
        <f>'[1]Prévisions Dépenses-Décaiss'!H53</f>
        <v>0</v>
      </c>
      <c r="I80" s="15">
        <f>'[1]Prévisions Dépenses-Décaiss'!I53</f>
        <v>0</v>
      </c>
      <c r="J80" s="15">
        <f>'[1]Prévisions Dépenses-Décaiss'!J53</f>
        <v>0</v>
      </c>
      <c r="K80" s="15">
        <f>'[1]Prévisions Dépenses-Décaiss'!K53</f>
        <v>0</v>
      </c>
      <c r="L80" s="15">
        <f>'[1]Prévisions Dépenses-Décaiss'!L53</f>
        <v>0</v>
      </c>
      <c r="M80" s="15">
        <f>'[1]Prévisions Dépenses-Décaiss'!M53</f>
        <v>0</v>
      </c>
      <c r="N80" s="15">
        <f>'[1]Prévisions Dépenses-Décaiss'!N53</f>
        <v>0</v>
      </c>
      <c r="O80" s="2"/>
      <c r="P80" s="2"/>
      <c r="Q80" s="2"/>
      <c r="R80" s="2"/>
    </row>
    <row r="81" spans="1:18" x14ac:dyDescent="0.25">
      <c r="A81" s="68" t="s">
        <v>25</v>
      </c>
      <c r="B81" s="69"/>
      <c r="C81" s="15">
        <f>'[1]Prévisions Dépenses-Décaiss'!C54</f>
        <v>0</v>
      </c>
      <c r="D81" s="15">
        <f>'[1]Prévisions Dépenses-Décaiss'!D54</f>
        <v>0</v>
      </c>
      <c r="E81" s="15">
        <f>'[1]Prévisions Dépenses-Décaiss'!E54</f>
        <v>0</v>
      </c>
      <c r="F81" s="15">
        <f>'[1]Prévisions Dépenses-Décaiss'!F54</f>
        <v>0</v>
      </c>
      <c r="G81" s="15">
        <f>'[1]Prévisions Dépenses-Décaiss'!G54</f>
        <v>0</v>
      </c>
      <c r="H81" s="15">
        <f>'[1]Prévisions Dépenses-Décaiss'!H54</f>
        <v>0</v>
      </c>
      <c r="I81" s="15">
        <f>'[1]Prévisions Dépenses-Décaiss'!I54</f>
        <v>0</v>
      </c>
      <c r="J81" s="15">
        <f>'[1]Prévisions Dépenses-Décaiss'!J54</f>
        <v>0</v>
      </c>
      <c r="K81" s="15">
        <f>'[1]Prévisions Dépenses-Décaiss'!K54</f>
        <v>0</v>
      </c>
      <c r="L81" s="15">
        <f>'[1]Prévisions Dépenses-Décaiss'!L54</f>
        <v>0</v>
      </c>
      <c r="M81" s="15">
        <f>'[1]Prévisions Dépenses-Décaiss'!M54</f>
        <v>0</v>
      </c>
      <c r="N81" s="15">
        <f>'[1]Prévisions Dépenses-Décaiss'!N54</f>
        <v>0</v>
      </c>
      <c r="O81" s="2"/>
      <c r="P81" s="2"/>
      <c r="Q81" s="2"/>
      <c r="R81" s="2"/>
    </row>
    <row r="82" spans="1:18" x14ac:dyDescent="0.25">
      <c r="A82" s="62" t="s">
        <v>115</v>
      </c>
      <c r="B82" s="63"/>
      <c r="C82" s="29">
        <f>SUM(C72:C81)</f>
        <v>0</v>
      </c>
      <c r="D82" s="29">
        <f t="shared" ref="D82:N82" si="8">SUM(D72:D81)</f>
        <v>0</v>
      </c>
      <c r="E82" s="29">
        <f t="shared" si="8"/>
        <v>0</v>
      </c>
      <c r="F82" s="29">
        <f t="shared" si="8"/>
        <v>0</v>
      </c>
      <c r="G82" s="29">
        <f t="shared" si="8"/>
        <v>0</v>
      </c>
      <c r="H82" s="29">
        <f t="shared" si="8"/>
        <v>0</v>
      </c>
      <c r="I82" s="29">
        <f t="shared" si="8"/>
        <v>0</v>
      </c>
      <c r="J82" s="29">
        <f t="shared" si="8"/>
        <v>0</v>
      </c>
      <c r="K82" s="29">
        <f t="shared" si="8"/>
        <v>0</v>
      </c>
      <c r="L82" s="29">
        <f t="shared" si="8"/>
        <v>0</v>
      </c>
      <c r="M82" s="29">
        <f t="shared" si="8"/>
        <v>0</v>
      </c>
      <c r="N82" s="29">
        <f t="shared" si="8"/>
        <v>0</v>
      </c>
      <c r="O82" s="2"/>
      <c r="P82" s="2"/>
      <c r="Q82" s="2"/>
      <c r="R82" s="2"/>
    </row>
    <row r="83" spans="1:18" x14ac:dyDescent="0.25">
      <c r="A83" s="60" t="s">
        <v>116</v>
      </c>
      <c r="B83" s="61"/>
      <c r="C83" s="33">
        <f>N52</f>
        <v>0</v>
      </c>
      <c r="D83" s="34">
        <f>C87</f>
        <v>0</v>
      </c>
      <c r="E83" s="34">
        <f>D87</f>
        <v>0</v>
      </c>
      <c r="F83" s="34">
        <f t="shared" ref="F83:N83" si="9">E87</f>
        <v>0</v>
      </c>
      <c r="G83" s="33">
        <f t="shared" si="9"/>
        <v>0</v>
      </c>
      <c r="H83" s="34">
        <f t="shared" si="9"/>
        <v>0</v>
      </c>
      <c r="I83" s="34">
        <f t="shared" si="9"/>
        <v>0</v>
      </c>
      <c r="J83" s="34">
        <f t="shared" si="9"/>
        <v>0</v>
      </c>
      <c r="K83" s="33">
        <f t="shared" si="9"/>
        <v>0</v>
      </c>
      <c r="L83" s="34">
        <f t="shared" si="9"/>
        <v>0</v>
      </c>
      <c r="M83" s="34">
        <f t="shared" si="9"/>
        <v>0</v>
      </c>
      <c r="N83" s="34">
        <f t="shared" si="9"/>
        <v>0</v>
      </c>
      <c r="O83" s="2"/>
      <c r="P83" s="2"/>
      <c r="Q83" s="2"/>
      <c r="R83" s="2"/>
    </row>
    <row r="84" spans="1:18" x14ac:dyDescent="0.25">
      <c r="A84" s="60" t="s">
        <v>106</v>
      </c>
      <c r="B84" s="61"/>
      <c r="C84" s="35">
        <f>C70</f>
        <v>0</v>
      </c>
      <c r="D84" s="35">
        <f t="shared" ref="D84:N84" si="10">D70</f>
        <v>0</v>
      </c>
      <c r="E84" s="35">
        <f t="shared" si="10"/>
        <v>0</v>
      </c>
      <c r="F84" s="35">
        <f t="shared" si="10"/>
        <v>0</v>
      </c>
      <c r="G84" s="35">
        <f t="shared" si="10"/>
        <v>0</v>
      </c>
      <c r="H84" s="35">
        <f t="shared" si="10"/>
        <v>0</v>
      </c>
      <c r="I84" s="35">
        <f t="shared" si="10"/>
        <v>0</v>
      </c>
      <c r="J84" s="35">
        <f t="shared" si="10"/>
        <v>0</v>
      </c>
      <c r="K84" s="35">
        <f t="shared" si="10"/>
        <v>0</v>
      </c>
      <c r="L84" s="35">
        <f t="shared" si="10"/>
        <v>0</v>
      </c>
      <c r="M84" s="35">
        <f t="shared" si="10"/>
        <v>0</v>
      </c>
      <c r="N84" s="35">
        <f t="shared" si="10"/>
        <v>0</v>
      </c>
      <c r="O84" s="2"/>
      <c r="P84" s="2"/>
      <c r="Q84" s="2"/>
      <c r="R84" s="2"/>
    </row>
    <row r="85" spans="1:18" x14ac:dyDescent="0.25">
      <c r="A85" s="60" t="s">
        <v>109</v>
      </c>
      <c r="B85" s="61"/>
      <c r="C85" s="35">
        <f>C82</f>
        <v>0</v>
      </c>
      <c r="D85" s="35">
        <f t="shared" ref="D85:N85" si="11">D82</f>
        <v>0</v>
      </c>
      <c r="E85" s="35">
        <f t="shared" si="11"/>
        <v>0</v>
      </c>
      <c r="F85" s="35">
        <f t="shared" si="11"/>
        <v>0</v>
      </c>
      <c r="G85" s="35">
        <f t="shared" si="11"/>
        <v>0</v>
      </c>
      <c r="H85" s="35">
        <f t="shared" si="11"/>
        <v>0</v>
      </c>
      <c r="I85" s="35">
        <f t="shared" si="11"/>
        <v>0</v>
      </c>
      <c r="J85" s="35">
        <f t="shared" si="11"/>
        <v>0</v>
      </c>
      <c r="K85" s="35">
        <f t="shared" si="11"/>
        <v>0</v>
      </c>
      <c r="L85" s="35">
        <f t="shared" si="11"/>
        <v>0</v>
      </c>
      <c r="M85" s="35">
        <f t="shared" si="11"/>
        <v>0</v>
      </c>
      <c r="N85" s="35">
        <f t="shared" si="11"/>
        <v>0</v>
      </c>
      <c r="O85" s="2"/>
      <c r="P85" s="2"/>
      <c r="Q85" s="2"/>
      <c r="R85" s="2"/>
    </row>
    <row r="86" spans="1:18" x14ac:dyDescent="0.25">
      <c r="A86" s="60" t="s">
        <v>117</v>
      </c>
      <c r="B86" s="61"/>
      <c r="C86" s="35">
        <f>C84-C85</f>
        <v>0</v>
      </c>
      <c r="D86" s="35">
        <f t="shared" ref="D86:N86" si="12">D84-D85</f>
        <v>0</v>
      </c>
      <c r="E86" s="35">
        <f t="shared" si="12"/>
        <v>0</v>
      </c>
      <c r="F86" s="35">
        <f t="shared" si="12"/>
        <v>0</v>
      </c>
      <c r="G86" s="35">
        <f t="shared" si="12"/>
        <v>0</v>
      </c>
      <c r="H86" s="35">
        <f t="shared" si="12"/>
        <v>0</v>
      </c>
      <c r="I86" s="35">
        <f t="shared" si="12"/>
        <v>0</v>
      </c>
      <c r="J86" s="35">
        <f t="shared" si="12"/>
        <v>0</v>
      </c>
      <c r="K86" s="35">
        <f t="shared" si="12"/>
        <v>0</v>
      </c>
      <c r="L86" s="35">
        <f t="shared" si="12"/>
        <v>0</v>
      </c>
      <c r="M86" s="35">
        <f t="shared" si="12"/>
        <v>0</v>
      </c>
      <c r="N86" s="35">
        <f t="shared" si="12"/>
        <v>0</v>
      </c>
      <c r="O86" s="2"/>
      <c r="P86" s="2"/>
      <c r="Q86" s="2"/>
      <c r="R86" s="2"/>
    </row>
    <row r="87" spans="1:18" x14ac:dyDescent="0.25">
      <c r="A87" s="50" t="s">
        <v>118</v>
      </c>
      <c r="B87" s="50"/>
      <c r="C87" s="35">
        <f>C83+C86</f>
        <v>0</v>
      </c>
      <c r="D87" s="35">
        <f t="shared" ref="D87:N87" si="13">D83+D86</f>
        <v>0</v>
      </c>
      <c r="E87" s="35">
        <f t="shared" si="13"/>
        <v>0</v>
      </c>
      <c r="F87" s="36">
        <f t="shared" si="13"/>
        <v>0</v>
      </c>
      <c r="G87" s="35">
        <f t="shared" si="13"/>
        <v>0</v>
      </c>
      <c r="H87" s="35">
        <f t="shared" si="13"/>
        <v>0</v>
      </c>
      <c r="I87" s="35">
        <f t="shared" si="13"/>
        <v>0</v>
      </c>
      <c r="J87" s="36">
        <f t="shared" si="13"/>
        <v>0</v>
      </c>
      <c r="K87" s="35">
        <f t="shared" si="13"/>
        <v>0</v>
      </c>
      <c r="L87" s="35">
        <f t="shared" si="13"/>
        <v>0</v>
      </c>
      <c r="M87" s="35">
        <f t="shared" si="13"/>
        <v>0</v>
      </c>
      <c r="N87" s="36">
        <f t="shared" si="13"/>
        <v>0</v>
      </c>
      <c r="O87" s="2"/>
      <c r="P87" s="2"/>
      <c r="Q87" s="2"/>
      <c r="R87" s="2"/>
    </row>
    <row r="88" spans="1:18" ht="20.25" customHeight="1" x14ac:dyDescent="0.25">
      <c r="K88" t="s">
        <v>30</v>
      </c>
      <c r="O88" s="2"/>
      <c r="P88" s="2"/>
      <c r="Q88" s="2"/>
      <c r="R88" s="2"/>
    </row>
    <row r="89" spans="1:18" ht="17.25" customHeight="1" x14ac:dyDescent="0.25">
      <c r="E89" t="s">
        <v>46</v>
      </c>
      <c r="K89" t="s">
        <v>30</v>
      </c>
      <c r="O89" s="2"/>
      <c r="P89" s="2" t="s">
        <v>32</v>
      </c>
      <c r="Q89" s="2"/>
      <c r="R89" s="2"/>
    </row>
    <row r="90" spans="1:18" ht="18" customHeight="1" x14ac:dyDescent="0.25">
      <c r="C90" s="76"/>
      <c r="D90" s="76"/>
      <c r="J90" s="75"/>
      <c r="K90" s="55"/>
      <c r="O90" s="2"/>
      <c r="P90" s="2"/>
      <c r="Q90" s="2"/>
      <c r="R90" s="2"/>
    </row>
    <row r="91" spans="1:18" ht="20.25" customHeight="1" x14ac:dyDescent="0.25">
      <c r="O91" s="2"/>
      <c r="P91" s="2"/>
      <c r="Q91" s="2"/>
      <c r="R91" s="2"/>
    </row>
    <row r="92" spans="1:18" ht="25.5" customHeight="1" x14ac:dyDescent="0.25">
      <c r="A92" s="43" t="s">
        <v>0</v>
      </c>
      <c r="B92" s="44"/>
      <c r="C92" t="s">
        <v>47</v>
      </c>
      <c r="D92" t="s">
        <v>48</v>
      </c>
      <c r="E92" t="s">
        <v>49</v>
      </c>
      <c r="F92" t="s">
        <v>50</v>
      </c>
      <c r="G92" t="s">
        <v>51</v>
      </c>
      <c r="H92" t="s">
        <v>52</v>
      </c>
      <c r="I92" t="s">
        <v>53</v>
      </c>
      <c r="J92" t="s">
        <v>54</v>
      </c>
      <c r="K92" s="2" t="s">
        <v>55</v>
      </c>
      <c r="L92" s="2" t="s">
        <v>56</v>
      </c>
      <c r="M92" s="2" t="s">
        <v>57</v>
      </c>
      <c r="N92" s="2" t="s">
        <v>98</v>
      </c>
      <c r="O92" s="2"/>
      <c r="P92" s="2"/>
      <c r="Q92" s="2"/>
      <c r="R92" s="2"/>
    </row>
    <row r="93" spans="1:18" ht="20.25" customHeight="1" x14ac:dyDescent="0.25">
      <c r="A93" s="73" t="s">
        <v>106</v>
      </c>
      <c r="B93" s="74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"/>
      <c r="P93" s="2"/>
      <c r="Q93" s="2"/>
      <c r="R93" s="2"/>
    </row>
    <row r="94" spans="1:18" ht="18" customHeight="1" x14ac:dyDescent="0.25">
      <c r="A94" s="58" t="s">
        <v>78</v>
      </c>
      <c r="B94" s="1" t="s">
        <v>79</v>
      </c>
      <c r="C94" s="2">
        <f>'[1]Prévisions Entrées-Encaiss'!C59</f>
        <v>0</v>
      </c>
      <c r="D94" s="2">
        <f>'[1]Prévisions Entrées-Encaiss'!D59</f>
        <v>0</v>
      </c>
      <c r="E94" s="2">
        <f>'[1]Prévisions Entrées-Encaiss'!E59</f>
        <v>0</v>
      </c>
      <c r="F94" s="2">
        <f>'[1]Prévisions Entrées-Encaiss'!F59</f>
        <v>0</v>
      </c>
      <c r="G94" s="2">
        <f>'[1]Prévisions Entrées-Encaiss'!G59</f>
        <v>0</v>
      </c>
      <c r="H94" s="2">
        <f>'[1]Prévisions Entrées-Encaiss'!H59</f>
        <v>0</v>
      </c>
      <c r="I94" s="2">
        <f>'[1]Prévisions Entrées-Encaiss'!I59</f>
        <v>0</v>
      </c>
      <c r="J94" s="2">
        <f>'[1]Prévisions Entrées-Encaiss'!J59</f>
        <v>0</v>
      </c>
      <c r="K94" s="2">
        <f>'[1]Prévisions Entrées-Encaiss'!K59</f>
        <v>0</v>
      </c>
      <c r="L94" s="2">
        <f>'[1]Prévisions Entrées-Encaiss'!L59</f>
        <v>0</v>
      </c>
      <c r="M94" s="2">
        <f>'[1]Prévisions Entrées-Encaiss'!M59</f>
        <v>0</v>
      </c>
      <c r="N94" s="2">
        <f>'[1]Prévisions Entrées-Encaiss'!N59</f>
        <v>0</v>
      </c>
      <c r="O94" s="2"/>
      <c r="P94" s="2"/>
      <c r="Q94" s="2"/>
      <c r="R94" s="2"/>
    </row>
    <row r="95" spans="1:18" ht="17.25" customHeight="1" x14ac:dyDescent="0.25">
      <c r="A95" s="59"/>
      <c r="B95" s="1" t="s">
        <v>80</v>
      </c>
      <c r="C95" s="2">
        <f>'[1]Prévisions Entrées-Encaiss'!C60</f>
        <v>0</v>
      </c>
      <c r="D95" s="2">
        <f>'[1]Prévisions Entrées-Encaiss'!D60</f>
        <v>0</v>
      </c>
      <c r="E95" s="2">
        <f>'[1]Prévisions Entrées-Encaiss'!E60</f>
        <v>0</v>
      </c>
      <c r="F95" s="2">
        <f>'[1]Prévisions Entrées-Encaiss'!F60</f>
        <v>0</v>
      </c>
      <c r="G95" s="2">
        <f>'[1]Prévisions Entrées-Encaiss'!G60</f>
        <v>0</v>
      </c>
      <c r="H95" s="2">
        <f>'[1]Prévisions Entrées-Encaiss'!H60</f>
        <v>0</v>
      </c>
      <c r="I95" s="2">
        <f>'[1]Prévisions Entrées-Encaiss'!I60</f>
        <v>0</v>
      </c>
      <c r="J95" s="2">
        <f>'[1]Prévisions Entrées-Encaiss'!J60</f>
        <v>0</v>
      </c>
      <c r="K95" s="2">
        <f>'[1]Prévisions Entrées-Encaiss'!K60</f>
        <v>0</v>
      </c>
      <c r="L95" s="2">
        <f>'[1]Prévisions Entrées-Encaiss'!L60</f>
        <v>0</v>
      </c>
      <c r="M95" s="2">
        <f>'[1]Prévisions Entrées-Encaiss'!M60</f>
        <v>0</v>
      </c>
      <c r="N95" s="2">
        <f>'[1]Prévisions Entrées-Encaiss'!N60</f>
        <v>0</v>
      </c>
      <c r="O95" s="2"/>
      <c r="P95" s="2"/>
      <c r="Q95" s="2"/>
      <c r="R95" s="2"/>
    </row>
    <row r="96" spans="1:18" ht="17.25" customHeight="1" x14ac:dyDescent="0.25">
      <c r="A96" s="59"/>
      <c r="B96" s="1" t="s">
        <v>81</v>
      </c>
      <c r="C96" s="2">
        <f>'[1]Prévisions Entrées-Encaiss'!C61</f>
        <v>0</v>
      </c>
      <c r="D96" s="2">
        <f>'[1]Prévisions Entrées-Encaiss'!D61</f>
        <v>0</v>
      </c>
      <c r="E96" s="2">
        <f>'[1]Prévisions Entrées-Encaiss'!E61</f>
        <v>0</v>
      </c>
      <c r="F96" s="2">
        <f>'[1]Prévisions Entrées-Encaiss'!F61</f>
        <v>0</v>
      </c>
      <c r="G96" s="2">
        <f>'[1]Prévisions Entrées-Encaiss'!G61</f>
        <v>0</v>
      </c>
      <c r="H96" s="2">
        <f>'[1]Prévisions Entrées-Encaiss'!H61</f>
        <v>0</v>
      </c>
      <c r="I96" s="2">
        <f>'[1]Prévisions Entrées-Encaiss'!I61</f>
        <v>0</v>
      </c>
      <c r="J96" s="2">
        <f>'[1]Prévisions Entrées-Encaiss'!J61</f>
        <v>0</v>
      </c>
      <c r="K96" s="2">
        <f>'[1]Prévisions Entrées-Encaiss'!K61</f>
        <v>0</v>
      </c>
      <c r="L96" s="2">
        <f>'[1]Prévisions Entrées-Encaiss'!L61</f>
        <v>0</v>
      </c>
      <c r="M96" s="2">
        <f>'[1]Prévisions Entrées-Encaiss'!M61</f>
        <v>0</v>
      </c>
      <c r="N96" s="2">
        <f>'[1]Prévisions Entrées-Encaiss'!N61</f>
        <v>0</v>
      </c>
      <c r="O96" s="2"/>
      <c r="P96" s="2"/>
      <c r="Q96" s="2"/>
      <c r="R96" s="2"/>
    </row>
    <row r="97" spans="1:18" ht="17.25" customHeight="1" x14ac:dyDescent="0.25">
      <c r="A97" s="59"/>
      <c r="B97" s="1" t="s">
        <v>82</v>
      </c>
      <c r="C97" s="2">
        <f>'[1]Prévisions Entrées-Encaiss'!C62</f>
        <v>0</v>
      </c>
      <c r="D97" s="2">
        <f>'[1]Prévisions Entrées-Encaiss'!D62</f>
        <v>0</v>
      </c>
      <c r="E97" s="2">
        <f>'[1]Prévisions Entrées-Encaiss'!E62</f>
        <v>0</v>
      </c>
      <c r="F97" s="2">
        <f>'[1]Prévisions Entrées-Encaiss'!F62</f>
        <v>0</v>
      </c>
      <c r="G97" s="2">
        <f>'[1]Prévisions Entrées-Encaiss'!G62</f>
        <v>0</v>
      </c>
      <c r="H97" s="2">
        <f>'[1]Prévisions Entrées-Encaiss'!H62</f>
        <v>0</v>
      </c>
      <c r="I97" s="2">
        <f>'[1]Prévisions Entrées-Encaiss'!I62</f>
        <v>0</v>
      </c>
      <c r="J97" s="2">
        <f>'[1]Prévisions Entrées-Encaiss'!J62</f>
        <v>0</v>
      </c>
      <c r="K97" s="2">
        <f>'[1]Prévisions Entrées-Encaiss'!K62</f>
        <v>0</v>
      </c>
      <c r="L97" s="2">
        <f>'[1]Prévisions Entrées-Encaiss'!L62</f>
        <v>0</v>
      </c>
      <c r="M97" s="2">
        <f>'[1]Prévisions Entrées-Encaiss'!M62</f>
        <v>0</v>
      </c>
      <c r="N97" s="2">
        <f>'[1]Prévisions Entrées-Encaiss'!N62</f>
        <v>0</v>
      </c>
      <c r="O97" s="2"/>
      <c r="P97" s="2"/>
      <c r="Q97" s="2"/>
      <c r="R97" s="2"/>
    </row>
    <row r="98" spans="1:18" ht="20.25" customHeight="1" x14ac:dyDescent="0.25">
      <c r="A98" s="59"/>
      <c r="B98" s="1" t="s">
        <v>83</v>
      </c>
      <c r="C98" s="2">
        <f>'[1]Prévisions Entrées-Encaiss'!C63</f>
        <v>0</v>
      </c>
      <c r="D98" s="2">
        <f>'[1]Prévisions Entrées-Encaiss'!D63</f>
        <v>0</v>
      </c>
      <c r="E98" s="2">
        <f>'[1]Prévisions Entrées-Encaiss'!E63</f>
        <v>0</v>
      </c>
      <c r="F98" s="2">
        <f>'[1]Prévisions Entrées-Encaiss'!F63</f>
        <v>0</v>
      </c>
      <c r="G98" s="2">
        <f>'[1]Prévisions Entrées-Encaiss'!G63</f>
        <v>0</v>
      </c>
      <c r="H98" s="2">
        <f>'[1]Prévisions Entrées-Encaiss'!H63</f>
        <v>0</v>
      </c>
      <c r="I98" s="2">
        <f>'[1]Prévisions Entrées-Encaiss'!I63</f>
        <v>0</v>
      </c>
      <c r="J98" s="2">
        <f>'[1]Prévisions Entrées-Encaiss'!J63</f>
        <v>0</v>
      </c>
      <c r="K98" s="2">
        <f>'[1]Prévisions Entrées-Encaiss'!K63</f>
        <v>0</v>
      </c>
      <c r="L98" s="2">
        <f>'[1]Prévisions Entrées-Encaiss'!L63</f>
        <v>0</v>
      </c>
      <c r="M98" s="2">
        <f>'[1]Prévisions Entrées-Encaiss'!M63</f>
        <v>0</v>
      </c>
      <c r="N98" s="2">
        <f>'[1]Prévisions Entrées-Encaiss'!N63</f>
        <v>0</v>
      </c>
      <c r="O98" s="2"/>
      <c r="P98" s="2"/>
      <c r="Q98" s="2"/>
      <c r="R98" s="2"/>
    </row>
    <row r="99" spans="1:18" ht="20.25" customHeight="1" x14ac:dyDescent="0.25">
      <c r="A99" s="59"/>
      <c r="B99" s="7" t="s">
        <v>84</v>
      </c>
      <c r="C99" s="2">
        <f>'[1]Prévisions Entrées-Encaiss'!C64</f>
        <v>0</v>
      </c>
      <c r="D99" s="2">
        <f>'[1]Prévisions Entrées-Encaiss'!D64</f>
        <v>0</v>
      </c>
      <c r="E99" s="2">
        <f>'[1]Prévisions Entrées-Encaiss'!E64</f>
        <v>0</v>
      </c>
      <c r="F99" s="2">
        <f>'[1]Prévisions Entrées-Encaiss'!F64</f>
        <v>0</v>
      </c>
      <c r="G99" s="2">
        <f>'[1]Prévisions Entrées-Encaiss'!G64</f>
        <v>0</v>
      </c>
      <c r="H99" s="2">
        <f>'[1]Prévisions Entrées-Encaiss'!H64</f>
        <v>0</v>
      </c>
      <c r="I99" s="2">
        <f>'[1]Prévisions Entrées-Encaiss'!I64</f>
        <v>0</v>
      </c>
      <c r="J99" s="2">
        <f>'[1]Prévisions Entrées-Encaiss'!J64</f>
        <v>0</v>
      </c>
      <c r="K99" s="2">
        <f>'[1]Prévisions Entrées-Encaiss'!K64</f>
        <v>0</v>
      </c>
      <c r="L99" s="2">
        <f>'[1]Prévisions Entrées-Encaiss'!L64</f>
        <v>0</v>
      </c>
      <c r="M99" s="2">
        <f>'[1]Prévisions Entrées-Encaiss'!M64</f>
        <v>0</v>
      </c>
      <c r="N99" s="2">
        <f>'[1]Prévisions Entrées-Encaiss'!N64</f>
        <v>0</v>
      </c>
      <c r="O99" s="2"/>
      <c r="P99" s="2"/>
      <c r="Q99" s="2"/>
      <c r="R99" s="2"/>
    </row>
    <row r="100" spans="1:18" ht="20.25" customHeight="1" x14ac:dyDescent="0.25">
      <c r="A100" s="59"/>
      <c r="B100" s="7" t="s">
        <v>85</v>
      </c>
      <c r="C100" s="2">
        <f>'[1]Prévisions Entrées-Encaiss'!C65</f>
        <v>0</v>
      </c>
      <c r="D100" s="2">
        <f>'[1]Prévisions Entrées-Encaiss'!D65</f>
        <v>0</v>
      </c>
      <c r="E100" s="2">
        <f>'[1]Prévisions Entrées-Encaiss'!E65</f>
        <v>0</v>
      </c>
      <c r="F100" s="2">
        <f>'[1]Prévisions Entrées-Encaiss'!F65</f>
        <v>0</v>
      </c>
      <c r="G100" s="2">
        <f>'[1]Prévisions Entrées-Encaiss'!G65</f>
        <v>0</v>
      </c>
      <c r="H100" s="2">
        <f>'[1]Prévisions Entrées-Encaiss'!H65</f>
        <v>0</v>
      </c>
      <c r="I100" s="2">
        <f>'[1]Prévisions Entrées-Encaiss'!I65</f>
        <v>0</v>
      </c>
      <c r="J100" s="2">
        <f>'[1]Prévisions Entrées-Encaiss'!J65</f>
        <v>0</v>
      </c>
      <c r="K100" s="2">
        <f>'[1]Prévisions Entrées-Encaiss'!K65</f>
        <v>0</v>
      </c>
      <c r="L100" s="2">
        <f>'[1]Prévisions Entrées-Encaiss'!L65</f>
        <v>0</v>
      </c>
      <c r="M100" s="2">
        <f>'[1]Prévisions Entrées-Encaiss'!M65</f>
        <v>0</v>
      </c>
      <c r="N100" s="2">
        <f>'[1]Prévisions Entrées-Encaiss'!N65</f>
        <v>0</v>
      </c>
      <c r="O100" s="2"/>
      <c r="P100" s="2"/>
      <c r="Q100" s="2"/>
      <c r="R100" s="2"/>
    </row>
    <row r="101" spans="1:18" ht="20.25" customHeight="1" x14ac:dyDescent="0.25">
      <c r="A101" s="59"/>
      <c r="B101" s="7" t="s">
        <v>86</v>
      </c>
      <c r="C101" s="2">
        <f>'[1]Prévisions Entrées-Encaiss'!C66</f>
        <v>0</v>
      </c>
      <c r="D101" s="2">
        <f>'[1]Prévisions Entrées-Encaiss'!D66</f>
        <v>0</v>
      </c>
      <c r="E101" s="2">
        <f>'[1]Prévisions Entrées-Encaiss'!E66</f>
        <v>0</v>
      </c>
      <c r="F101" s="2">
        <f>'[1]Prévisions Entrées-Encaiss'!F66</f>
        <v>0</v>
      </c>
      <c r="G101" s="2">
        <f>'[1]Prévisions Entrées-Encaiss'!G66</f>
        <v>0</v>
      </c>
      <c r="H101" s="2">
        <f>'[1]Prévisions Entrées-Encaiss'!H66</f>
        <v>0</v>
      </c>
      <c r="I101" s="2">
        <f>'[1]Prévisions Entrées-Encaiss'!I66</f>
        <v>0</v>
      </c>
      <c r="J101" s="2">
        <f>'[1]Prévisions Entrées-Encaiss'!J66</f>
        <v>0</v>
      </c>
      <c r="K101" s="2">
        <f>'[1]Prévisions Entrées-Encaiss'!K66</f>
        <v>0</v>
      </c>
      <c r="L101" s="2">
        <f>'[1]Prévisions Entrées-Encaiss'!L66</f>
        <v>0</v>
      </c>
      <c r="M101" s="2">
        <f>'[1]Prévisions Entrées-Encaiss'!M66</f>
        <v>0</v>
      </c>
      <c r="N101" s="2">
        <f>'[1]Prévisions Entrées-Encaiss'!N66</f>
        <v>0</v>
      </c>
      <c r="O101" s="2"/>
      <c r="P101" s="2"/>
      <c r="Q101" s="2"/>
      <c r="R101" s="2"/>
    </row>
    <row r="102" spans="1:18" ht="20.25" customHeight="1" x14ac:dyDescent="0.25">
      <c r="A102" s="59"/>
      <c r="B102" s="7" t="s">
        <v>87</v>
      </c>
      <c r="C102" s="2">
        <f>'[1]Prévisions Entrées-Encaiss'!C67</f>
        <v>0</v>
      </c>
      <c r="D102" s="2">
        <f>'[1]Prévisions Entrées-Encaiss'!D67</f>
        <v>0</v>
      </c>
      <c r="E102" s="2">
        <f>'[1]Prévisions Entrées-Encaiss'!E67</f>
        <v>0</v>
      </c>
      <c r="F102" s="2">
        <f>'[1]Prévisions Entrées-Encaiss'!F67</f>
        <v>0</v>
      </c>
      <c r="G102" s="2">
        <f>'[1]Prévisions Entrées-Encaiss'!G67</f>
        <v>0</v>
      </c>
      <c r="H102" s="2">
        <f>'[1]Prévisions Entrées-Encaiss'!H67</f>
        <v>0</v>
      </c>
      <c r="I102" s="2">
        <f>'[1]Prévisions Entrées-Encaiss'!I67</f>
        <v>0</v>
      </c>
      <c r="J102" s="2">
        <f>'[1]Prévisions Entrées-Encaiss'!J67</f>
        <v>0</v>
      </c>
      <c r="K102" s="2">
        <f>'[1]Prévisions Entrées-Encaiss'!K67</f>
        <v>0</v>
      </c>
      <c r="L102" s="2">
        <f>'[1]Prévisions Entrées-Encaiss'!L67</f>
        <v>0</v>
      </c>
      <c r="M102" s="2">
        <f>'[1]Prévisions Entrées-Encaiss'!M67</f>
        <v>0</v>
      </c>
      <c r="N102" s="2">
        <f>'[1]Prévisions Entrées-Encaiss'!N67</f>
        <v>0</v>
      </c>
      <c r="O102" s="2"/>
      <c r="P102" s="2"/>
      <c r="Q102" s="2"/>
      <c r="R102" s="2"/>
    </row>
    <row r="103" spans="1:18" ht="20.25" customHeight="1" x14ac:dyDescent="0.25">
      <c r="A103" s="59"/>
      <c r="B103" s="7" t="s">
        <v>96</v>
      </c>
      <c r="C103" s="2">
        <f>'[1]Prévisions Entrées-Encaiss'!C68</f>
        <v>0</v>
      </c>
      <c r="D103" s="2">
        <f>'[1]Prévisions Entrées-Encaiss'!D68</f>
        <v>0</v>
      </c>
      <c r="E103" s="2">
        <f>'[1]Prévisions Entrées-Encaiss'!E68</f>
        <v>0</v>
      </c>
      <c r="F103" s="2">
        <f>'[1]Prévisions Entrées-Encaiss'!F68</f>
        <v>0</v>
      </c>
      <c r="G103" s="2">
        <f>'[1]Prévisions Entrées-Encaiss'!G68</f>
        <v>0</v>
      </c>
      <c r="H103" s="2">
        <f>'[1]Prévisions Entrées-Encaiss'!H68</f>
        <v>0</v>
      </c>
      <c r="I103" s="2">
        <f>'[1]Prévisions Entrées-Encaiss'!I68</f>
        <v>0</v>
      </c>
      <c r="J103" s="2">
        <f>'[1]Prévisions Entrées-Encaiss'!J68</f>
        <v>0</v>
      </c>
      <c r="K103" s="2">
        <f>'[1]Prévisions Entrées-Encaiss'!K68</f>
        <v>0</v>
      </c>
      <c r="L103" s="2">
        <f>'[1]Prévisions Entrées-Encaiss'!L68</f>
        <v>0</v>
      </c>
      <c r="M103" s="2">
        <f>'[1]Prévisions Entrées-Encaiss'!M68</f>
        <v>0</v>
      </c>
      <c r="N103" s="2">
        <f>'[1]Prévisions Entrées-Encaiss'!N68</f>
        <v>0</v>
      </c>
      <c r="O103" s="2"/>
      <c r="P103" s="2"/>
      <c r="Q103" s="2"/>
      <c r="R103" s="2"/>
    </row>
    <row r="104" spans="1:18" x14ac:dyDescent="0.25">
      <c r="A104" s="56" t="s">
        <v>107</v>
      </c>
      <c r="B104" s="57"/>
      <c r="C104" s="2">
        <f>'[1]Prévisions Entrées-Encaiss'!C69</f>
        <v>0</v>
      </c>
      <c r="D104" s="2">
        <f>'[1]Prévisions Entrées-Encaiss'!D69</f>
        <v>0</v>
      </c>
      <c r="E104" s="2">
        <f>'[1]Prévisions Entrées-Encaiss'!E69</f>
        <v>0</v>
      </c>
      <c r="F104" s="2">
        <f>'[1]Prévisions Entrées-Encaiss'!F69</f>
        <v>0</v>
      </c>
      <c r="G104" s="2">
        <f>'[1]Prévisions Entrées-Encaiss'!G69</f>
        <v>0</v>
      </c>
      <c r="H104" s="2">
        <f>'[1]Prévisions Entrées-Encaiss'!H69</f>
        <v>0</v>
      </c>
      <c r="I104" s="2">
        <f>'[1]Prévisions Entrées-Encaiss'!I69</f>
        <v>0</v>
      </c>
      <c r="J104" s="2">
        <f>'[1]Prévisions Entrées-Encaiss'!J69</f>
        <v>0</v>
      </c>
      <c r="K104" s="2">
        <f>'[1]Prévisions Entrées-Encaiss'!K69</f>
        <v>0</v>
      </c>
      <c r="L104" s="2">
        <f>'[1]Prévisions Entrées-Encaiss'!L69</f>
        <v>0</v>
      </c>
      <c r="M104" s="2">
        <f>'[1]Prévisions Entrées-Encaiss'!M69</f>
        <v>0</v>
      </c>
      <c r="N104" s="2">
        <f>'[1]Prévisions Entrées-Encaiss'!N69</f>
        <v>0</v>
      </c>
      <c r="O104" s="2"/>
      <c r="P104" s="2"/>
      <c r="Q104" s="2"/>
      <c r="R104" s="2"/>
    </row>
    <row r="105" spans="1:18" x14ac:dyDescent="0.25">
      <c r="A105" s="64" t="s">
        <v>108</v>
      </c>
      <c r="B105" s="65"/>
      <c r="C105" s="9">
        <f>SUM(C94:C104)</f>
        <v>0</v>
      </c>
      <c r="D105" s="9">
        <f t="shared" ref="D105:N105" si="14">SUM(D94:D104)</f>
        <v>0</v>
      </c>
      <c r="E105" s="9">
        <f t="shared" si="14"/>
        <v>0</v>
      </c>
      <c r="F105" s="9">
        <f t="shared" si="14"/>
        <v>0</v>
      </c>
      <c r="G105" s="9">
        <f t="shared" si="14"/>
        <v>0</v>
      </c>
      <c r="H105" s="9">
        <f t="shared" si="14"/>
        <v>0</v>
      </c>
      <c r="I105" s="9">
        <f t="shared" si="14"/>
        <v>0</v>
      </c>
      <c r="J105" s="9">
        <f t="shared" si="14"/>
        <v>0</v>
      </c>
      <c r="K105" s="9">
        <f t="shared" si="14"/>
        <v>0</v>
      </c>
      <c r="L105" s="9">
        <f t="shared" si="14"/>
        <v>0</v>
      </c>
      <c r="M105" s="9">
        <f t="shared" si="14"/>
        <v>0</v>
      </c>
      <c r="N105" s="9">
        <f t="shared" si="14"/>
        <v>0</v>
      </c>
      <c r="O105" s="2"/>
      <c r="P105" s="2"/>
      <c r="Q105" s="2"/>
      <c r="R105" s="2"/>
    </row>
    <row r="106" spans="1:18" x14ac:dyDescent="0.25">
      <c r="A106" s="66" t="s">
        <v>109</v>
      </c>
      <c r="B106" s="67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"/>
      <c r="P106" s="2"/>
      <c r="Q106" s="2"/>
      <c r="R106" s="2"/>
    </row>
    <row r="107" spans="1:18" x14ac:dyDescent="0.25">
      <c r="A107" s="68" t="s">
        <v>14</v>
      </c>
      <c r="B107" s="69"/>
      <c r="C107" s="2">
        <f>'[1]Prévisions Dépenses-Décaiss'!C62</f>
        <v>0</v>
      </c>
      <c r="D107" s="2">
        <f>'[1]Prévisions Dépenses-Décaiss'!D62</f>
        <v>0</v>
      </c>
      <c r="E107" s="2">
        <f>'[1]Prévisions Dépenses-Décaiss'!E62</f>
        <v>0</v>
      </c>
      <c r="F107" s="2">
        <f>'[1]Prévisions Dépenses-Décaiss'!F62</f>
        <v>0</v>
      </c>
      <c r="G107" s="2">
        <f>'[1]Prévisions Dépenses-Décaiss'!G62</f>
        <v>0</v>
      </c>
      <c r="H107" s="2">
        <f>'[1]Prévisions Dépenses-Décaiss'!H62</f>
        <v>0</v>
      </c>
      <c r="I107" s="2">
        <f>'[1]Prévisions Dépenses-Décaiss'!I62</f>
        <v>0</v>
      </c>
      <c r="J107" s="2">
        <f>'[1]Prévisions Dépenses-Décaiss'!J62</f>
        <v>0</v>
      </c>
      <c r="K107" s="2">
        <f>'[1]Prévisions Dépenses-Décaiss'!K62</f>
        <v>0</v>
      </c>
      <c r="L107" s="2">
        <f>'[1]Prévisions Dépenses-Décaiss'!L62</f>
        <v>0</v>
      </c>
      <c r="M107" s="2">
        <f>'[1]Prévisions Dépenses-Décaiss'!M62</f>
        <v>0</v>
      </c>
      <c r="N107" s="2">
        <f>'[1]Prévisions Dépenses-Décaiss'!N62</f>
        <v>0</v>
      </c>
      <c r="O107" s="2"/>
      <c r="P107" s="2"/>
      <c r="Q107" s="2"/>
      <c r="R107" s="2"/>
    </row>
    <row r="108" spans="1:18" x14ac:dyDescent="0.25">
      <c r="A108" s="68" t="s">
        <v>15</v>
      </c>
      <c r="B108" s="69"/>
      <c r="C108" s="2">
        <f>'[1]Prévisions Dépenses-Décaiss'!C63</f>
        <v>0</v>
      </c>
      <c r="D108" s="2">
        <f>'[1]Prévisions Dépenses-Décaiss'!D63</f>
        <v>0</v>
      </c>
      <c r="E108" s="2">
        <f>'[1]Prévisions Dépenses-Décaiss'!E63</f>
        <v>0</v>
      </c>
      <c r="F108" s="2">
        <f>'[1]Prévisions Dépenses-Décaiss'!F63</f>
        <v>0</v>
      </c>
      <c r="G108" s="2">
        <f>'[1]Prévisions Dépenses-Décaiss'!G63</f>
        <v>0</v>
      </c>
      <c r="H108" s="2">
        <f>'[1]Prévisions Dépenses-Décaiss'!H63</f>
        <v>0</v>
      </c>
      <c r="I108" s="2">
        <f>'[1]Prévisions Dépenses-Décaiss'!I63</f>
        <v>0</v>
      </c>
      <c r="J108" s="2">
        <f>'[1]Prévisions Dépenses-Décaiss'!J63</f>
        <v>0</v>
      </c>
      <c r="K108" s="2">
        <f>'[1]Prévisions Dépenses-Décaiss'!K63</f>
        <v>0</v>
      </c>
      <c r="L108" s="2">
        <f>'[1]Prévisions Dépenses-Décaiss'!L63</f>
        <v>0</v>
      </c>
      <c r="M108" s="2">
        <f>'[1]Prévisions Dépenses-Décaiss'!M63</f>
        <v>0</v>
      </c>
      <c r="N108" s="2">
        <f>'[1]Prévisions Dépenses-Décaiss'!N63</f>
        <v>0</v>
      </c>
      <c r="O108" s="2"/>
      <c r="P108" s="2"/>
      <c r="Q108" s="2"/>
      <c r="R108" s="2"/>
    </row>
    <row r="109" spans="1:18" x14ac:dyDescent="0.25">
      <c r="A109" s="68" t="s">
        <v>16</v>
      </c>
      <c r="B109" s="69"/>
      <c r="C109" s="2">
        <f>'[1]Prévisions Dépenses-Décaiss'!C64</f>
        <v>0</v>
      </c>
      <c r="D109" s="2">
        <f>'[1]Prévisions Dépenses-Décaiss'!D64</f>
        <v>0</v>
      </c>
      <c r="E109" s="2">
        <f>'[1]Prévisions Dépenses-Décaiss'!E64</f>
        <v>0</v>
      </c>
      <c r="F109" s="2">
        <f>'[1]Prévisions Dépenses-Décaiss'!F64</f>
        <v>0</v>
      </c>
      <c r="G109" s="2">
        <f>'[1]Prévisions Dépenses-Décaiss'!G64</f>
        <v>0</v>
      </c>
      <c r="H109" s="2">
        <f>'[1]Prévisions Dépenses-Décaiss'!H64</f>
        <v>0</v>
      </c>
      <c r="I109" s="2">
        <f>'[1]Prévisions Dépenses-Décaiss'!I64</f>
        <v>0</v>
      </c>
      <c r="J109" s="2">
        <f>'[1]Prévisions Dépenses-Décaiss'!J64</f>
        <v>0</v>
      </c>
      <c r="K109" s="2">
        <f>'[1]Prévisions Dépenses-Décaiss'!K64</f>
        <v>0</v>
      </c>
      <c r="L109" s="2">
        <f>'[1]Prévisions Dépenses-Décaiss'!L64</f>
        <v>0</v>
      </c>
      <c r="M109" s="2">
        <f>'[1]Prévisions Dépenses-Décaiss'!M64</f>
        <v>0</v>
      </c>
      <c r="N109" s="2">
        <f>'[1]Prévisions Dépenses-Décaiss'!N64</f>
        <v>0</v>
      </c>
      <c r="O109" s="2"/>
      <c r="P109" s="2"/>
      <c r="Q109" s="2"/>
      <c r="R109" s="2"/>
    </row>
    <row r="110" spans="1:18" x14ac:dyDescent="0.25">
      <c r="A110" s="68" t="s">
        <v>17</v>
      </c>
      <c r="B110" s="69"/>
      <c r="C110" s="2">
        <f>'[1]Prévisions Dépenses-Décaiss'!C65</f>
        <v>0</v>
      </c>
      <c r="D110" s="2">
        <f>'[1]Prévisions Dépenses-Décaiss'!D65</f>
        <v>0</v>
      </c>
      <c r="E110" s="2">
        <f>'[1]Prévisions Dépenses-Décaiss'!E65</f>
        <v>0</v>
      </c>
      <c r="F110" s="2">
        <f>'[1]Prévisions Dépenses-Décaiss'!F65</f>
        <v>0</v>
      </c>
      <c r="G110" s="2">
        <f>'[1]Prévisions Dépenses-Décaiss'!G65</f>
        <v>0</v>
      </c>
      <c r="H110" s="2">
        <f>'[1]Prévisions Dépenses-Décaiss'!H65</f>
        <v>0</v>
      </c>
      <c r="I110" s="2">
        <f>'[1]Prévisions Dépenses-Décaiss'!I65</f>
        <v>0</v>
      </c>
      <c r="J110" s="2">
        <f>'[1]Prévisions Dépenses-Décaiss'!J65</f>
        <v>0</v>
      </c>
      <c r="K110" s="2">
        <f>'[1]Prévisions Dépenses-Décaiss'!K65</f>
        <v>0</v>
      </c>
      <c r="L110" s="2">
        <f>'[1]Prévisions Dépenses-Décaiss'!L65</f>
        <v>0</v>
      </c>
      <c r="M110" s="2">
        <f>'[1]Prévisions Dépenses-Décaiss'!M65</f>
        <v>0</v>
      </c>
      <c r="N110" s="2">
        <f>'[1]Prévisions Dépenses-Décaiss'!N65</f>
        <v>0</v>
      </c>
      <c r="O110" s="2"/>
      <c r="P110" s="2"/>
      <c r="Q110" s="2"/>
      <c r="R110" s="2"/>
    </row>
    <row r="111" spans="1:18" x14ac:dyDescent="0.25">
      <c r="A111" s="68" t="s">
        <v>18</v>
      </c>
      <c r="B111" s="69"/>
      <c r="C111" s="2">
        <f>'[1]Prévisions Dépenses-Décaiss'!C66</f>
        <v>0</v>
      </c>
      <c r="D111" s="2">
        <f>'[1]Prévisions Dépenses-Décaiss'!D66</f>
        <v>0</v>
      </c>
      <c r="E111" s="2">
        <f>'[1]Prévisions Dépenses-Décaiss'!E66</f>
        <v>0</v>
      </c>
      <c r="F111" s="2">
        <f>'[1]Prévisions Dépenses-Décaiss'!F66</f>
        <v>0</v>
      </c>
      <c r="G111" s="2">
        <f>'[1]Prévisions Dépenses-Décaiss'!G66</f>
        <v>0</v>
      </c>
      <c r="H111" s="2">
        <f>'[1]Prévisions Dépenses-Décaiss'!H66</f>
        <v>0</v>
      </c>
      <c r="I111" s="2">
        <f>'[1]Prévisions Dépenses-Décaiss'!I66</f>
        <v>0</v>
      </c>
      <c r="J111" s="2">
        <f>'[1]Prévisions Dépenses-Décaiss'!J66</f>
        <v>0</v>
      </c>
      <c r="K111" s="2">
        <f>'[1]Prévisions Dépenses-Décaiss'!K66</f>
        <v>0</v>
      </c>
      <c r="L111" s="2">
        <f>'[1]Prévisions Dépenses-Décaiss'!L66</f>
        <v>0</v>
      </c>
      <c r="M111" s="2">
        <f>'[1]Prévisions Dépenses-Décaiss'!M66</f>
        <v>0</v>
      </c>
      <c r="N111" s="2">
        <f>'[1]Prévisions Dépenses-Décaiss'!N66</f>
        <v>0</v>
      </c>
      <c r="O111" s="2"/>
      <c r="P111" s="2"/>
      <c r="Q111" s="2"/>
      <c r="R111" s="2"/>
    </row>
    <row r="112" spans="1:18" x14ac:dyDescent="0.25">
      <c r="A112" s="70" t="s">
        <v>111</v>
      </c>
      <c r="B112" s="31" t="s">
        <v>112</v>
      </c>
      <c r="C112" s="2">
        <f>'[1]Prévisions Dépenses-Décaiss'!C68</f>
        <v>0</v>
      </c>
      <c r="D112" s="2">
        <f>'[1]Prévisions Dépenses-Décaiss'!D68</f>
        <v>0</v>
      </c>
      <c r="E112" s="2">
        <f>'[1]Prévisions Dépenses-Décaiss'!E68</f>
        <v>0</v>
      </c>
      <c r="F112" s="2">
        <f>'[1]Prévisions Dépenses-Décaiss'!F68</f>
        <v>0</v>
      </c>
      <c r="G112" s="2">
        <f>'[1]Prévisions Dépenses-Décaiss'!G68</f>
        <v>0</v>
      </c>
      <c r="H112" s="2">
        <f>'[1]Prévisions Dépenses-Décaiss'!H68</f>
        <v>0</v>
      </c>
      <c r="I112" s="2">
        <f>'[1]Prévisions Dépenses-Décaiss'!I68</f>
        <v>0</v>
      </c>
      <c r="J112" s="2">
        <f>'[1]Prévisions Dépenses-Décaiss'!J68</f>
        <v>0</v>
      </c>
      <c r="K112" s="2">
        <f>'[1]Prévisions Dépenses-Décaiss'!K68</f>
        <v>0</v>
      </c>
      <c r="L112" s="2">
        <f>'[1]Prévisions Dépenses-Décaiss'!L68</f>
        <v>0</v>
      </c>
      <c r="M112" s="2">
        <f>'[1]Prévisions Dépenses-Décaiss'!M68</f>
        <v>0</v>
      </c>
      <c r="N112" s="2">
        <f>'[1]Prévisions Dépenses-Décaiss'!N68</f>
        <v>0</v>
      </c>
      <c r="O112" s="2"/>
      <c r="P112" s="2"/>
      <c r="Q112" s="2"/>
      <c r="R112" s="2"/>
    </row>
    <row r="113" spans="1:19" x14ac:dyDescent="0.25">
      <c r="A113" s="71"/>
      <c r="B113" s="31" t="s">
        <v>113</v>
      </c>
      <c r="C113" s="2">
        <f>'[1]Prévisions Dépenses-Décaiss'!C69</f>
        <v>0</v>
      </c>
      <c r="D113" s="2">
        <f>'[1]Prévisions Dépenses-Décaiss'!D69</f>
        <v>0</v>
      </c>
      <c r="E113" s="2">
        <f>'[1]Prévisions Dépenses-Décaiss'!E69</f>
        <v>0</v>
      </c>
      <c r="F113" s="2">
        <f>'[1]Prévisions Dépenses-Décaiss'!F69</f>
        <v>0</v>
      </c>
      <c r="G113" s="2">
        <f>'[1]Prévisions Dépenses-Décaiss'!G69</f>
        <v>0</v>
      </c>
      <c r="H113" s="2">
        <f>'[1]Prévisions Dépenses-Décaiss'!H69</f>
        <v>0</v>
      </c>
      <c r="I113" s="2">
        <f>'[1]Prévisions Dépenses-Décaiss'!I69</f>
        <v>0</v>
      </c>
      <c r="J113" s="2">
        <f>'[1]Prévisions Dépenses-Décaiss'!J69</f>
        <v>0</v>
      </c>
      <c r="K113" s="2">
        <f>'[1]Prévisions Dépenses-Décaiss'!K69</f>
        <v>0</v>
      </c>
      <c r="L113" s="2">
        <f>'[1]Prévisions Dépenses-Décaiss'!L69</f>
        <v>0</v>
      </c>
      <c r="M113" s="2">
        <f>'[1]Prévisions Dépenses-Décaiss'!M69</f>
        <v>0</v>
      </c>
      <c r="N113" s="2">
        <f>'[1]Prévisions Dépenses-Décaiss'!N69</f>
        <v>0</v>
      </c>
      <c r="O113" s="2"/>
      <c r="P113" s="2"/>
      <c r="Q113" s="2"/>
      <c r="R113" s="2"/>
    </row>
    <row r="114" spans="1:19" x14ac:dyDescent="0.25">
      <c r="A114" s="72"/>
      <c r="B114" s="32" t="s">
        <v>114</v>
      </c>
      <c r="C114" s="2">
        <f>'[1]Prévisions Dépenses-Décaiss'!C70</f>
        <v>0</v>
      </c>
      <c r="D114" s="2">
        <f>'[1]Prévisions Dépenses-Décaiss'!D70</f>
        <v>0</v>
      </c>
      <c r="E114" s="2">
        <f>'[1]Prévisions Dépenses-Décaiss'!E70</f>
        <v>0</v>
      </c>
      <c r="F114" s="2">
        <f>'[1]Prévisions Dépenses-Décaiss'!F70</f>
        <v>0</v>
      </c>
      <c r="G114" s="2">
        <f>'[1]Prévisions Dépenses-Décaiss'!G70</f>
        <v>0</v>
      </c>
      <c r="H114" s="2">
        <f>'[1]Prévisions Dépenses-Décaiss'!H70</f>
        <v>0</v>
      </c>
      <c r="I114" s="2">
        <f>'[1]Prévisions Dépenses-Décaiss'!I70</f>
        <v>0</v>
      </c>
      <c r="J114" s="2">
        <f>'[1]Prévisions Dépenses-Décaiss'!J70</f>
        <v>0</v>
      </c>
      <c r="K114" s="2">
        <f>'[1]Prévisions Dépenses-Décaiss'!K70</f>
        <v>0</v>
      </c>
      <c r="L114" s="2">
        <f>'[1]Prévisions Dépenses-Décaiss'!L70</f>
        <v>0</v>
      </c>
      <c r="M114" s="2">
        <f>'[1]Prévisions Dépenses-Décaiss'!M70</f>
        <v>0</v>
      </c>
      <c r="N114" s="2">
        <f>'[1]Prévisions Dépenses-Décaiss'!N70</f>
        <v>0</v>
      </c>
      <c r="O114" s="2"/>
      <c r="P114" s="2"/>
      <c r="Q114" s="2"/>
      <c r="R114" s="2"/>
    </row>
    <row r="115" spans="1:19" x14ac:dyDescent="0.25">
      <c r="A115" s="68" t="s">
        <v>24</v>
      </c>
      <c r="B115" s="69"/>
      <c r="C115" s="2">
        <f>'[1]Prévisions Dépenses-Décaiss'!C71</f>
        <v>0</v>
      </c>
      <c r="D115" s="2">
        <f>'[1]Prévisions Dépenses-Décaiss'!D71</f>
        <v>0</v>
      </c>
      <c r="E115" s="2">
        <f>'[1]Prévisions Dépenses-Décaiss'!E71</f>
        <v>0</v>
      </c>
      <c r="F115" s="2">
        <f>'[1]Prévisions Dépenses-Décaiss'!F71</f>
        <v>0</v>
      </c>
      <c r="G115" s="2">
        <f>'[1]Prévisions Dépenses-Décaiss'!G71</f>
        <v>0</v>
      </c>
      <c r="H115" s="2">
        <f>'[1]Prévisions Dépenses-Décaiss'!H71</f>
        <v>0</v>
      </c>
      <c r="I115" s="2">
        <f>'[1]Prévisions Dépenses-Décaiss'!I71</f>
        <v>0</v>
      </c>
      <c r="J115" s="2">
        <f>'[1]Prévisions Dépenses-Décaiss'!J71</f>
        <v>0</v>
      </c>
      <c r="K115" s="2">
        <f>'[1]Prévisions Dépenses-Décaiss'!K71</f>
        <v>0</v>
      </c>
      <c r="L115" s="2">
        <f>'[1]Prévisions Dépenses-Décaiss'!L71</f>
        <v>0</v>
      </c>
      <c r="M115" s="2">
        <f>'[1]Prévisions Dépenses-Décaiss'!M71</f>
        <v>0</v>
      </c>
      <c r="N115" s="2">
        <f>'[1]Prévisions Dépenses-Décaiss'!N71</f>
        <v>0</v>
      </c>
      <c r="O115" s="2"/>
      <c r="P115" s="2"/>
      <c r="Q115" s="2"/>
      <c r="R115" s="2"/>
    </row>
    <row r="116" spans="1:19" x14ac:dyDescent="0.25">
      <c r="A116" s="68" t="s">
        <v>25</v>
      </c>
      <c r="B116" s="69"/>
      <c r="C116" s="2">
        <f>'[1]Prévisions Dépenses-Décaiss'!C72</f>
        <v>0</v>
      </c>
      <c r="D116" s="2">
        <f>'[1]Prévisions Dépenses-Décaiss'!D72</f>
        <v>0</v>
      </c>
      <c r="E116" s="2">
        <f>'[1]Prévisions Dépenses-Décaiss'!E72</f>
        <v>0</v>
      </c>
      <c r="F116" s="2">
        <f>'[1]Prévisions Dépenses-Décaiss'!F72</f>
        <v>0</v>
      </c>
      <c r="G116" s="2">
        <f>'[1]Prévisions Dépenses-Décaiss'!G72</f>
        <v>0</v>
      </c>
      <c r="H116" s="2">
        <f>'[1]Prévisions Dépenses-Décaiss'!H72</f>
        <v>0</v>
      </c>
      <c r="I116" s="2">
        <f>'[1]Prévisions Dépenses-Décaiss'!I72</f>
        <v>0</v>
      </c>
      <c r="J116" s="2">
        <f>'[1]Prévisions Dépenses-Décaiss'!J72</f>
        <v>0</v>
      </c>
      <c r="K116" s="2">
        <f>'[1]Prévisions Dépenses-Décaiss'!K72</f>
        <v>0</v>
      </c>
      <c r="L116" s="2">
        <f>'[1]Prévisions Dépenses-Décaiss'!L72</f>
        <v>0</v>
      </c>
      <c r="M116" s="2">
        <f>'[1]Prévisions Dépenses-Décaiss'!M72</f>
        <v>0</v>
      </c>
      <c r="N116" s="2">
        <f>'[1]Prévisions Dépenses-Décaiss'!N72</f>
        <v>0</v>
      </c>
      <c r="O116" s="2"/>
      <c r="P116" s="2"/>
      <c r="Q116" s="2"/>
      <c r="R116" s="2"/>
      <c r="S116" s="2"/>
    </row>
    <row r="117" spans="1:19" x14ac:dyDescent="0.25">
      <c r="A117" s="62" t="s">
        <v>115</v>
      </c>
      <c r="B117" s="63"/>
      <c r="C117" s="9">
        <f>SUM(C107:C116)</f>
        <v>0</v>
      </c>
      <c r="D117" s="9">
        <f t="shared" ref="D117:N117" si="15">SUM(D107:D116)</f>
        <v>0</v>
      </c>
      <c r="E117" s="9">
        <f t="shared" si="15"/>
        <v>0</v>
      </c>
      <c r="F117" s="9">
        <f t="shared" si="15"/>
        <v>0</v>
      </c>
      <c r="G117" s="9">
        <f t="shared" si="15"/>
        <v>0</v>
      </c>
      <c r="H117" s="9">
        <f t="shared" si="15"/>
        <v>0</v>
      </c>
      <c r="I117" s="9">
        <f t="shared" si="15"/>
        <v>0</v>
      </c>
      <c r="J117" s="9">
        <f t="shared" si="15"/>
        <v>0</v>
      </c>
      <c r="K117" s="9">
        <f t="shared" si="15"/>
        <v>0</v>
      </c>
      <c r="L117" s="9">
        <f t="shared" si="15"/>
        <v>0</v>
      </c>
      <c r="M117" s="9">
        <f t="shared" si="15"/>
        <v>0</v>
      </c>
      <c r="N117" s="9">
        <f t="shared" si="15"/>
        <v>0</v>
      </c>
      <c r="O117" s="2"/>
      <c r="P117" s="2"/>
      <c r="Q117" s="2"/>
      <c r="R117" s="2"/>
    </row>
    <row r="118" spans="1:19" x14ac:dyDescent="0.25">
      <c r="A118" s="60" t="s">
        <v>116</v>
      </c>
      <c r="B118" s="61"/>
      <c r="C118" s="26">
        <f>N87</f>
        <v>0</v>
      </c>
      <c r="D118" s="27">
        <f t="shared" ref="D118:N118" si="16">C122</f>
        <v>0</v>
      </c>
      <c r="E118" s="27">
        <f t="shared" si="16"/>
        <v>0</v>
      </c>
      <c r="F118" s="27">
        <f t="shared" si="16"/>
        <v>0</v>
      </c>
      <c r="G118" s="26">
        <f t="shared" si="16"/>
        <v>0</v>
      </c>
      <c r="H118" s="27">
        <f t="shared" si="16"/>
        <v>0</v>
      </c>
      <c r="I118" s="27">
        <f t="shared" si="16"/>
        <v>0</v>
      </c>
      <c r="J118" s="27">
        <f t="shared" si="16"/>
        <v>0</v>
      </c>
      <c r="K118" s="26">
        <f t="shared" si="16"/>
        <v>0</v>
      </c>
      <c r="L118" s="27">
        <f t="shared" si="16"/>
        <v>0</v>
      </c>
      <c r="M118" s="27">
        <f t="shared" si="16"/>
        <v>0</v>
      </c>
      <c r="N118" s="27">
        <f t="shared" si="16"/>
        <v>0</v>
      </c>
      <c r="O118" s="2"/>
      <c r="P118" s="2"/>
      <c r="Q118" s="2"/>
      <c r="R118" s="2"/>
    </row>
    <row r="119" spans="1:19" x14ac:dyDescent="0.25">
      <c r="A119" s="60" t="s">
        <v>106</v>
      </c>
      <c r="B119" s="61"/>
      <c r="C119" s="18">
        <f>C105</f>
        <v>0</v>
      </c>
      <c r="D119" s="18">
        <f t="shared" ref="D119:N119" si="17">D105</f>
        <v>0</v>
      </c>
      <c r="E119" s="18">
        <f t="shared" si="17"/>
        <v>0</v>
      </c>
      <c r="F119" s="18">
        <f t="shared" si="17"/>
        <v>0</v>
      </c>
      <c r="G119" s="18">
        <f t="shared" si="17"/>
        <v>0</v>
      </c>
      <c r="H119" s="18">
        <f t="shared" si="17"/>
        <v>0</v>
      </c>
      <c r="I119" s="18">
        <f t="shared" si="17"/>
        <v>0</v>
      </c>
      <c r="J119" s="18">
        <f t="shared" si="17"/>
        <v>0</v>
      </c>
      <c r="K119" s="18">
        <f t="shared" si="17"/>
        <v>0</v>
      </c>
      <c r="L119" s="18">
        <f t="shared" si="17"/>
        <v>0</v>
      </c>
      <c r="M119" s="18">
        <f t="shared" si="17"/>
        <v>0</v>
      </c>
      <c r="N119" s="18">
        <f t="shared" si="17"/>
        <v>0</v>
      </c>
      <c r="O119" s="2"/>
      <c r="P119" s="2"/>
      <c r="Q119" s="2"/>
      <c r="R119" s="2"/>
    </row>
    <row r="120" spans="1:19" x14ac:dyDescent="0.25">
      <c r="A120" s="60" t="s">
        <v>109</v>
      </c>
      <c r="B120" s="61"/>
      <c r="C120" s="18">
        <f>C117</f>
        <v>0</v>
      </c>
      <c r="D120" s="18">
        <f t="shared" ref="D120:N120" si="18">D117</f>
        <v>0</v>
      </c>
      <c r="E120" s="18">
        <f t="shared" si="18"/>
        <v>0</v>
      </c>
      <c r="F120" s="18">
        <f t="shared" si="18"/>
        <v>0</v>
      </c>
      <c r="G120" s="18">
        <f t="shared" si="18"/>
        <v>0</v>
      </c>
      <c r="H120" s="18">
        <f t="shared" si="18"/>
        <v>0</v>
      </c>
      <c r="I120" s="18">
        <f t="shared" si="18"/>
        <v>0</v>
      </c>
      <c r="J120" s="18">
        <f t="shared" si="18"/>
        <v>0</v>
      </c>
      <c r="K120" s="18">
        <f t="shared" si="18"/>
        <v>0</v>
      </c>
      <c r="L120" s="18">
        <f t="shared" si="18"/>
        <v>0</v>
      </c>
      <c r="M120" s="18">
        <f t="shared" si="18"/>
        <v>0</v>
      </c>
      <c r="N120" s="18">
        <f t="shared" si="18"/>
        <v>0</v>
      </c>
      <c r="O120" s="2"/>
      <c r="P120" s="2"/>
      <c r="Q120" s="2"/>
      <c r="R120" s="2"/>
    </row>
    <row r="121" spans="1:19" x14ac:dyDescent="0.25">
      <c r="A121" s="60" t="s">
        <v>117</v>
      </c>
      <c r="B121" s="61"/>
      <c r="C121" s="18">
        <f>C119-C120</f>
        <v>0</v>
      </c>
      <c r="D121" s="18">
        <f t="shared" ref="D121:N121" si="19">D119-D120</f>
        <v>0</v>
      </c>
      <c r="E121" s="18">
        <f t="shared" si="19"/>
        <v>0</v>
      </c>
      <c r="F121" s="18">
        <f t="shared" si="19"/>
        <v>0</v>
      </c>
      <c r="G121" s="18">
        <f t="shared" si="19"/>
        <v>0</v>
      </c>
      <c r="H121" s="18">
        <f t="shared" si="19"/>
        <v>0</v>
      </c>
      <c r="I121" s="18">
        <f t="shared" si="19"/>
        <v>0</v>
      </c>
      <c r="J121" s="18">
        <f t="shared" si="19"/>
        <v>0</v>
      </c>
      <c r="K121" s="18">
        <f t="shared" si="19"/>
        <v>0</v>
      </c>
      <c r="L121" s="18">
        <f t="shared" si="19"/>
        <v>0</v>
      </c>
      <c r="M121" s="18">
        <f t="shared" si="19"/>
        <v>0</v>
      </c>
      <c r="N121" s="18">
        <f t="shared" si="19"/>
        <v>0</v>
      </c>
      <c r="O121" s="2"/>
      <c r="P121" s="2"/>
      <c r="Q121" s="2"/>
      <c r="R121" s="2"/>
    </row>
    <row r="122" spans="1:19" x14ac:dyDescent="0.25">
      <c r="A122" s="60" t="s">
        <v>118</v>
      </c>
      <c r="B122" s="61"/>
      <c r="C122" s="18">
        <f>C118+C121</f>
        <v>0</v>
      </c>
      <c r="D122" s="18">
        <f t="shared" ref="D122:N122" si="20">D118+D121</f>
        <v>0</v>
      </c>
      <c r="E122" s="18">
        <f t="shared" si="20"/>
        <v>0</v>
      </c>
      <c r="F122" s="28">
        <f t="shared" si="20"/>
        <v>0</v>
      </c>
      <c r="G122" s="18">
        <f t="shared" si="20"/>
        <v>0</v>
      </c>
      <c r="H122" s="18">
        <f t="shared" si="20"/>
        <v>0</v>
      </c>
      <c r="I122" s="18">
        <f t="shared" si="20"/>
        <v>0</v>
      </c>
      <c r="J122" s="28">
        <f t="shared" si="20"/>
        <v>0</v>
      </c>
      <c r="K122" s="18">
        <f t="shared" si="20"/>
        <v>0</v>
      </c>
      <c r="L122" s="18">
        <f t="shared" si="20"/>
        <v>0</v>
      </c>
      <c r="M122" s="18">
        <f t="shared" si="20"/>
        <v>0</v>
      </c>
      <c r="N122" s="18">
        <f t="shared" si="20"/>
        <v>0</v>
      </c>
      <c r="O122" s="2"/>
      <c r="P122" s="2"/>
      <c r="Q122" s="2"/>
      <c r="R122" s="2"/>
    </row>
    <row r="123" spans="1:19" x14ac:dyDescent="0.25">
      <c r="C123" s="2"/>
      <c r="L123" s="2"/>
      <c r="M123" s="2"/>
      <c r="N123" s="2"/>
      <c r="O123" s="2"/>
      <c r="P123" s="2"/>
      <c r="Q123" s="2"/>
      <c r="R123" s="2"/>
    </row>
    <row r="124" spans="1:19" x14ac:dyDescent="0.25">
      <c r="L124" s="2"/>
      <c r="M124" s="2"/>
      <c r="N124" s="2"/>
      <c r="O124" s="2"/>
      <c r="P124" s="2"/>
      <c r="Q124" s="2"/>
      <c r="R124" s="2"/>
    </row>
    <row r="125" spans="1:19" x14ac:dyDescent="0.25">
      <c r="A125" s="43" t="s">
        <v>0</v>
      </c>
      <c r="B125" s="44"/>
      <c r="C125" t="s">
        <v>59</v>
      </c>
      <c r="D125" t="s">
        <v>60</v>
      </c>
      <c r="E125" t="s">
        <v>61</v>
      </c>
      <c r="F125" t="s">
        <v>99</v>
      </c>
      <c r="G125" t="s">
        <v>63</v>
      </c>
      <c r="H125" t="s">
        <v>64</v>
      </c>
      <c r="I125" t="s">
        <v>65</v>
      </c>
      <c r="J125" t="s">
        <v>100</v>
      </c>
      <c r="K125" s="2" t="s">
        <v>67</v>
      </c>
      <c r="L125" s="2" t="s">
        <v>68</v>
      </c>
      <c r="M125" s="2" t="s">
        <v>69</v>
      </c>
      <c r="N125" s="2" t="s">
        <v>101</v>
      </c>
      <c r="O125" s="2" t="s">
        <v>1</v>
      </c>
      <c r="P125" s="2" t="s">
        <v>2</v>
      </c>
      <c r="Q125" s="2" t="s">
        <v>3</v>
      </c>
      <c r="R125" s="2" t="s">
        <v>4</v>
      </c>
      <c r="S125" s="2" t="s">
        <v>74</v>
      </c>
    </row>
    <row r="126" spans="1:19" x14ac:dyDescent="0.25">
      <c r="A126" s="73" t="s">
        <v>106</v>
      </c>
      <c r="B126" s="74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x14ac:dyDescent="0.25">
      <c r="A127" s="58" t="s">
        <v>78</v>
      </c>
      <c r="B127" s="1" t="s">
        <v>121</v>
      </c>
      <c r="C127" s="2">
        <f>'[1]Prévisions Entrées-Encaiss'!C76</f>
        <v>0</v>
      </c>
      <c r="D127" s="2">
        <f>'[1]Prévisions Entrées-Encaiss'!D76</f>
        <v>0</v>
      </c>
      <c r="E127" s="2">
        <f>'[1]Prévisions Entrées-Encaiss'!E76</f>
        <v>0</v>
      </c>
      <c r="F127" s="2">
        <f>'[1]Prévisions Entrées-Encaiss'!F76</f>
        <v>0</v>
      </c>
      <c r="G127" s="2">
        <f>'[1]Prévisions Entrées-Encaiss'!G76</f>
        <v>0</v>
      </c>
      <c r="H127" s="2">
        <f>'[1]Prévisions Entrées-Encaiss'!H76</f>
        <v>0</v>
      </c>
      <c r="I127" s="2">
        <f>'[1]Prévisions Entrées-Encaiss'!I76</f>
        <v>0</v>
      </c>
      <c r="J127" s="2">
        <f>'[1]Prévisions Entrées-Encaiss'!J76</f>
        <v>0</v>
      </c>
      <c r="K127" s="2">
        <f>'[1]Prévisions Entrées-Encaiss'!K76</f>
        <v>0</v>
      </c>
      <c r="L127" s="2">
        <f>'[1]Prévisions Entrées-Encaiss'!L76</f>
        <v>0</v>
      </c>
      <c r="M127" s="2">
        <f>'[1]Prévisions Entrées-Encaiss'!M76</f>
        <v>0</v>
      </c>
      <c r="N127" s="2">
        <f>'[1]Prévisions Entrées-Encaiss'!N76</f>
        <v>0</v>
      </c>
      <c r="O127" s="2">
        <f>'[1]Prévisions Entrées-Encaiss'!O76</f>
        <v>0</v>
      </c>
      <c r="P127" s="2">
        <f>'[1]Prévisions Entrées-Encaiss'!P76</f>
        <v>0</v>
      </c>
      <c r="Q127" s="2">
        <f>'[1]Prévisions Entrées-Encaiss'!Q76</f>
        <v>0</v>
      </c>
      <c r="R127" s="2">
        <f>'[1]Prévisions Entrées-Encaiss'!R76</f>
        <v>0</v>
      </c>
      <c r="S127" s="2">
        <f t="shared" ref="S127:S135" si="21">SUM(C24:N24,C59:N59,C94:N94,C127:R127)</f>
        <v>0</v>
      </c>
    </row>
    <row r="128" spans="1:19" x14ac:dyDescent="0.25">
      <c r="A128" s="59"/>
      <c r="B128" s="1" t="s">
        <v>80</v>
      </c>
      <c r="C128" s="2">
        <f>'[1]Prévisions Entrées-Encaiss'!C77</f>
        <v>0</v>
      </c>
      <c r="D128" s="2">
        <f>'[1]Prévisions Entrées-Encaiss'!D77</f>
        <v>0</v>
      </c>
      <c r="E128" s="2">
        <f>'[1]Prévisions Entrées-Encaiss'!E77</f>
        <v>0</v>
      </c>
      <c r="F128" s="2">
        <f>'[1]Prévisions Entrées-Encaiss'!F77</f>
        <v>0</v>
      </c>
      <c r="G128" s="2">
        <f>'[1]Prévisions Entrées-Encaiss'!G77</f>
        <v>0</v>
      </c>
      <c r="H128" s="2">
        <f>'[1]Prévisions Entrées-Encaiss'!H77</f>
        <v>0</v>
      </c>
      <c r="I128" s="2">
        <f>'[1]Prévisions Entrées-Encaiss'!I77</f>
        <v>0</v>
      </c>
      <c r="J128" s="2">
        <f>'[1]Prévisions Entrées-Encaiss'!J77</f>
        <v>0</v>
      </c>
      <c r="K128" s="2">
        <f>'[1]Prévisions Entrées-Encaiss'!K77</f>
        <v>0</v>
      </c>
      <c r="L128" s="2">
        <f>'[1]Prévisions Entrées-Encaiss'!L77</f>
        <v>0</v>
      </c>
      <c r="M128" s="2">
        <f>'[1]Prévisions Entrées-Encaiss'!M77</f>
        <v>0</v>
      </c>
      <c r="N128" s="2">
        <f>'[1]Prévisions Entrées-Encaiss'!N77</f>
        <v>0</v>
      </c>
      <c r="O128" s="2">
        <f>'[1]Prévisions Entrées-Encaiss'!O77</f>
        <v>0</v>
      </c>
      <c r="P128" s="2">
        <f>'[1]Prévisions Entrées-Encaiss'!P77</f>
        <v>0</v>
      </c>
      <c r="Q128" s="2">
        <f>'[1]Prévisions Entrées-Encaiss'!Q77</f>
        <v>0</v>
      </c>
      <c r="R128" s="2">
        <f>'[1]Prévisions Entrées-Encaiss'!R77</f>
        <v>0</v>
      </c>
      <c r="S128" s="2">
        <f t="shared" si="21"/>
        <v>0</v>
      </c>
    </row>
    <row r="129" spans="1:19" x14ac:dyDescent="0.25">
      <c r="A129" s="59"/>
      <c r="B129" s="1" t="s">
        <v>81</v>
      </c>
      <c r="C129" s="2">
        <f>'[1]Prévisions Entrées-Encaiss'!C78</f>
        <v>0</v>
      </c>
      <c r="D129" s="2">
        <f>'[1]Prévisions Entrées-Encaiss'!D78</f>
        <v>0</v>
      </c>
      <c r="E129" s="2">
        <f>'[1]Prévisions Entrées-Encaiss'!E78</f>
        <v>0</v>
      </c>
      <c r="F129" s="2">
        <f>'[1]Prévisions Entrées-Encaiss'!F78</f>
        <v>0</v>
      </c>
      <c r="G129" s="2">
        <f>'[1]Prévisions Entrées-Encaiss'!G78</f>
        <v>0</v>
      </c>
      <c r="H129" s="2">
        <f>'[1]Prévisions Entrées-Encaiss'!H78</f>
        <v>0</v>
      </c>
      <c r="I129" s="2">
        <f>'[1]Prévisions Entrées-Encaiss'!I78</f>
        <v>0</v>
      </c>
      <c r="J129" s="2">
        <f>'[1]Prévisions Entrées-Encaiss'!J78</f>
        <v>0</v>
      </c>
      <c r="K129" s="2">
        <f>'[1]Prévisions Entrées-Encaiss'!K78</f>
        <v>0</v>
      </c>
      <c r="L129" s="2">
        <f>'[1]Prévisions Entrées-Encaiss'!L78</f>
        <v>0</v>
      </c>
      <c r="M129" s="2">
        <f>'[1]Prévisions Entrées-Encaiss'!M78</f>
        <v>0</v>
      </c>
      <c r="N129" s="2">
        <f>'[1]Prévisions Entrées-Encaiss'!N78</f>
        <v>0</v>
      </c>
      <c r="O129" s="2">
        <f>'[1]Prévisions Entrées-Encaiss'!O78</f>
        <v>0</v>
      </c>
      <c r="P129" s="2">
        <f>'[1]Prévisions Entrées-Encaiss'!P78</f>
        <v>0</v>
      </c>
      <c r="Q129" s="2">
        <f>'[1]Prévisions Entrées-Encaiss'!Q78</f>
        <v>0</v>
      </c>
      <c r="R129" s="2">
        <f>'[1]Prévisions Entrées-Encaiss'!R78</f>
        <v>0</v>
      </c>
      <c r="S129" s="2">
        <f t="shared" si="21"/>
        <v>0</v>
      </c>
    </row>
    <row r="130" spans="1:19" x14ac:dyDescent="0.25">
      <c r="A130" s="59"/>
      <c r="B130" s="1" t="s">
        <v>82</v>
      </c>
      <c r="C130" s="2">
        <f>'[1]Prévisions Entrées-Encaiss'!C79</f>
        <v>0</v>
      </c>
      <c r="D130" s="2">
        <f>'[1]Prévisions Entrées-Encaiss'!D79</f>
        <v>0</v>
      </c>
      <c r="E130" s="2">
        <f>'[1]Prévisions Entrées-Encaiss'!E79</f>
        <v>0</v>
      </c>
      <c r="F130" s="2">
        <f>'[1]Prévisions Entrées-Encaiss'!F79</f>
        <v>0</v>
      </c>
      <c r="G130" s="2">
        <f>'[1]Prévisions Entrées-Encaiss'!G79</f>
        <v>0</v>
      </c>
      <c r="H130" s="2">
        <f>'[1]Prévisions Entrées-Encaiss'!H79</f>
        <v>0</v>
      </c>
      <c r="I130" s="2">
        <f>'[1]Prévisions Entrées-Encaiss'!I79</f>
        <v>0</v>
      </c>
      <c r="J130" s="2">
        <f>'[1]Prévisions Entrées-Encaiss'!J79</f>
        <v>0</v>
      </c>
      <c r="K130" s="2">
        <f>'[1]Prévisions Entrées-Encaiss'!K79</f>
        <v>0</v>
      </c>
      <c r="L130" s="2">
        <f>'[1]Prévisions Entrées-Encaiss'!L79</f>
        <v>0</v>
      </c>
      <c r="M130" s="2">
        <f>'[1]Prévisions Entrées-Encaiss'!M79</f>
        <v>0</v>
      </c>
      <c r="N130" s="2">
        <f>'[1]Prévisions Entrées-Encaiss'!N79</f>
        <v>0</v>
      </c>
      <c r="O130" s="2">
        <f>'[1]Prévisions Entrées-Encaiss'!O79</f>
        <v>0</v>
      </c>
      <c r="P130" s="2">
        <f>'[1]Prévisions Entrées-Encaiss'!P79</f>
        <v>0</v>
      </c>
      <c r="Q130" s="2">
        <f>'[1]Prévisions Entrées-Encaiss'!Q79</f>
        <v>0</v>
      </c>
      <c r="R130" s="2">
        <f>'[1]Prévisions Entrées-Encaiss'!R79</f>
        <v>0</v>
      </c>
      <c r="S130" s="2">
        <f t="shared" si="21"/>
        <v>0</v>
      </c>
    </row>
    <row r="131" spans="1:19" x14ac:dyDescent="0.25">
      <c r="A131" s="59"/>
      <c r="B131" s="1" t="s">
        <v>83</v>
      </c>
      <c r="C131" s="2">
        <f>'[1]Prévisions Entrées-Encaiss'!C80</f>
        <v>0</v>
      </c>
      <c r="D131" s="2">
        <f>'[1]Prévisions Entrées-Encaiss'!D80</f>
        <v>0</v>
      </c>
      <c r="E131" s="2">
        <f>'[1]Prévisions Entrées-Encaiss'!E80</f>
        <v>0</v>
      </c>
      <c r="F131" s="2">
        <f>'[1]Prévisions Entrées-Encaiss'!F80</f>
        <v>0</v>
      </c>
      <c r="G131" s="2">
        <f>'[1]Prévisions Entrées-Encaiss'!G80</f>
        <v>0</v>
      </c>
      <c r="H131" s="2">
        <f>'[1]Prévisions Entrées-Encaiss'!H80</f>
        <v>0</v>
      </c>
      <c r="I131" s="2">
        <f>'[1]Prévisions Entrées-Encaiss'!I80</f>
        <v>0</v>
      </c>
      <c r="J131" s="2">
        <f>'[1]Prévisions Entrées-Encaiss'!J80</f>
        <v>0</v>
      </c>
      <c r="K131" s="2">
        <f>'[1]Prévisions Entrées-Encaiss'!K80</f>
        <v>0</v>
      </c>
      <c r="L131" s="2">
        <f>'[1]Prévisions Entrées-Encaiss'!L80</f>
        <v>0</v>
      </c>
      <c r="M131" s="2">
        <f>'[1]Prévisions Entrées-Encaiss'!M80</f>
        <v>0</v>
      </c>
      <c r="N131" s="2">
        <f>'[1]Prévisions Entrées-Encaiss'!N80</f>
        <v>0</v>
      </c>
      <c r="O131" s="2">
        <f>'[1]Prévisions Entrées-Encaiss'!O80</f>
        <v>0</v>
      </c>
      <c r="P131" s="2">
        <f>'[1]Prévisions Entrées-Encaiss'!P80</f>
        <v>0</v>
      </c>
      <c r="Q131" s="2">
        <f>'[1]Prévisions Entrées-Encaiss'!Q80</f>
        <v>0</v>
      </c>
      <c r="R131" s="2">
        <f>'[1]Prévisions Entrées-Encaiss'!R80</f>
        <v>0</v>
      </c>
      <c r="S131" s="2">
        <f t="shared" si="21"/>
        <v>0</v>
      </c>
    </row>
    <row r="132" spans="1:19" x14ac:dyDescent="0.25">
      <c r="A132" s="59"/>
      <c r="B132" s="7" t="s">
        <v>84</v>
      </c>
      <c r="C132" s="2">
        <f>'[1]Prévisions Entrées-Encaiss'!C81</f>
        <v>0</v>
      </c>
      <c r="D132" s="2">
        <f>'[1]Prévisions Entrées-Encaiss'!D81</f>
        <v>0</v>
      </c>
      <c r="E132" s="2">
        <f>'[1]Prévisions Entrées-Encaiss'!E81</f>
        <v>0</v>
      </c>
      <c r="F132" s="2">
        <f>'[1]Prévisions Entrées-Encaiss'!F81</f>
        <v>0</v>
      </c>
      <c r="G132" s="2">
        <f>'[1]Prévisions Entrées-Encaiss'!G81</f>
        <v>0</v>
      </c>
      <c r="H132" s="2">
        <f>'[1]Prévisions Entrées-Encaiss'!H81</f>
        <v>0</v>
      </c>
      <c r="I132" s="2">
        <f>'[1]Prévisions Entrées-Encaiss'!I81</f>
        <v>0</v>
      </c>
      <c r="J132" s="2">
        <f>'[1]Prévisions Entrées-Encaiss'!J81</f>
        <v>0</v>
      </c>
      <c r="K132" s="2">
        <f>'[1]Prévisions Entrées-Encaiss'!K81</f>
        <v>0</v>
      </c>
      <c r="L132" s="2">
        <f>'[1]Prévisions Entrées-Encaiss'!L81</f>
        <v>0</v>
      </c>
      <c r="M132" s="2">
        <f>'[1]Prévisions Entrées-Encaiss'!M81</f>
        <v>0</v>
      </c>
      <c r="N132" s="2">
        <f>'[1]Prévisions Entrées-Encaiss'!N81</f>
        <v>0</v>
      </c>
      <c r="O132" s="2">
        <f>'[1]Prévisions Entrées-Encaiss'!O81</f>
        <v>0</v>
      </c>
      <c r="P132" s="2">
        <f>'[1]Prévisions Entrées-Encaiss'!P81</f>
        <v>0</v>
      </c>
      <c r="Q132" s="2">
        <f>'[1]Prévisions Entrées-Encaiss'!Q81</f>
        <v>0</v>
      </c>
      <c r="R132" s="2">
        <f>'[1]Prévisions Entrées-Encaiss'!R81</f>
        <v>0</v>
      </c>
      <c r="S132" s="2">
        <f t="shared" si="21"/>
        <v>0</v>
      </c>
    </row>
    <row r="133" spans="1:19" x14ac:dyDescent="0.25">
      <c r="A133" s="59"/>
      <c r="B133" s="7" t="s">
        <v>85</v>
      </c>
      <c r="C133" s="2">
        <f>'[1]Prévisions Entrées-Encaiss'!C82</f>
        <v>0</v>
      </c>
      <c r="D133" s="2">
        <f>'[1]Prévisions Entrées-Encaiss'!D82</f>
        <v>0</v>
      </c>
      <c r="E133" s="2">
        <f>'[1]Prévisions Entrées-Encaiss'!E82</f>
        <v>0</v>
      </c>
      <c r="F133" s="2">
        <f>'[1]Prévisions Entrées-Encaiss'!F82</f>
        <v>0</v>
      </c>
      <c r="G133" s="2">
        <f>'[1]Prévisions Entrées-Encaiss'!G82</f>
        <v>0</v>
      </c>
      <c r="H133" s="2">
        <f>'[1]Prévisions Entrées-Encaiss'!H82</f>
        <v>0</v>
      </c>
      <c r="I133" s="2">
        <f>'[1]Prévisions Entrées-Encaiss'!I82</f>
        <v>0</v>
      </c>
      <c r="J133" s="2">
        <f>'[1]Prévisions Entrées-Encaiss'!J82</f>
        <v>0</v>
      </c>
      <c r="K133" s="2">
        <f>'[1]Prévisions Entrées-Encaiss'!K82</f>
        <v>0</v>
      </c>
      <c r="L133" s="2">
        <f>'[1]Prévisions Entrées-Encaiss'!L82</f>
        <v>0</v>
      </c>
      <c r="M133" s="2">
        <f>'[1]Prévisions Entrées-Encaiss'!M82</f>
        <v>0</v>
      </c>
      <c r="N133" s="2">
        <f>'[1]Prévisions Entrées-Encaiss'!N82</f>
        <v>0</v>
      </c>
      <c r="O133" s="2">
        <f>'[1]Prévisions Entrées-Encaiss'!O82</f>
        <v>0</v>
      </c>
      <c r="P133" s="2">
        <f>'[1]Prévisions Entrées-Encaiss'!P82</f>
        <v>0</v>
      </c>
      <c r="Q133" s="2">
        <f>'[1]Prévisions Entrées-Encaiss'!Q82</f>
        <v>0</v>
      </c>
      <c r="R133" s="2">
        <f>'[1]Prévisions Entrées-Encaiss'!R82</f>
        <v>0</v>
      </c>
      <c r="S133" s="2">
        <f t="shared" si="21"/>
        <v>0</v>
      </c>
    </row>
    <row r="134" spans="1:19" x14ac:dyDescent="0.25">
      <c r="A134" s="59"/>
      <c r="B134" s="7" t="s">
        <v>86</v>
      </c>
      <c r="C134" s="2">
        <f>'[1]Prévisions Entrées-Encaiss'!C83</f>
        <v>0</v>
      </c>
      <c r="D134" s="2">
        <f>'[1]Prévisions Entrées-Encaiss'!D83</f>
        <v>0</v>
      </c>
      <c r="E134" s="2">
        <f>'[1]Prévisions Entrées-Encaiss'!E83</f>
        <v>0</v>
      </c>
      <c r="F134" s="2">
        <f>'[1]Prévisions Entrées-Encaiss'!F83</f>
        <v>0</v>
      </c>
      <c r="G134" s="2">
        <f>'[1]Prévisions Entrées-Encaiss'!G83</f>
        <v>0</v>
      </c>
      <c r="H134" s="2">
        <f>'[1]Prévisions Entrées-Encaiss'!H83</f>
        <v>0</v>
      </c>
      <c r="I134" s="2">
        <f>'[1]Prévisions Entrées-Encaiss'!I83</f>
        <v>0</v>
      </c>
      <c r="J134" s="2">
        <f>'[1]Prévisions Entrées-Encaiss'!J83</f>
        <v>0</v>
      </c>
      <c r="K134" s="2">
        <f>'[1]Prévisions Entrées-Encaiss'!K83</f>
        <v>0</v>
      </c>
      <c r="L134" s="2">
        <f>'[1]Prévisions Entrées-Encaiss'!L83</f>
        <v>0</v>
      </c>
      <c r="M134" s="2">
        <f>'[1]Prévisions Entrées-Encaiss'!M83</f>
        <v>0</v>
      </c>
      <c r="N134" s="2">
        <f>'[1]Prévisions Entrées-Encaiss'!N83</f>
        <v>0</v>
      </c>
      <c r="O134" s="2">
        <f>'[1]Prévisions Entrées-Encaiss'!O83</f>
        <v>0</v>
      </c>
      <c r="P134" s="2">
        <f>'[1]Prévisions Entrées-Encaiss'!P83</f>
        <v>0</v>
      </c>
      <c r="Q134" s="2">
        <f>'[1]Prévisions Entrées-Encaiss'!Q83</f>
        <v>0</v>
      </c>
      <c r="R134" s="2">
        <f>'[1]Prévisions Entrées-Encaiss'!R83</f>
        <v>0</v>
      </c>
      <c r="S134" s="2">
        <f t="shared" si="21"/>
        <v>0</v>
      </c>
    </row>
    <row r="135" spans="1:19" x14ac:dyDescent="0.25">
      <c r="A135" s="59"/>
      <c r="B135" s="7" t="s">
        <v>87</v>
      </c>
      <c r="C135" s="2">
        <f>'[1]Prévisions Entrées-Encaiss'!C84</f>
        <v>0</v>
      </c>
      <c r="D135" s="2">
        <f>'[1]Prévisions Entrées-Encaiss'!D84</f>
        <v>0</v>
      </c>
      <c r="E135" s="2">
        <f>'[1]Prévisions Entrées-Encaiss'!E84</f>
        <v>0</v>
      </c>
      <c r="F135" s="2">
        <f>'[1]Prévisions Entrées-Encaiss'!F84</f>
        <v>0</v>
      </c>
      <c r="G135" s="2">
        <f>'[1]Prévisions Entrées-Encaiss'!G84</f>
        <v>0</v>
      </c>
      <c r="H135" s="2">
        <f>'[1]Prévisions Entrées-Encaiss'!H84</f>
        <v>0</v>
      </c>
      <c r="I135" s="2">
        <f>'[1]Prévisions Entrées-Encaiss'!I84</f>
        <v>0</v>
      </c>
      <c r="J135" s="2">
        <f>'[1]Prévisions Entrées-Encaiss'!J84</f>
        <v>0</v>
      </c>
      <c r="K135" s="2">
        <f>'[1]Prévisions Entrées-Encaiss'!K84</f>
        <v>0</v>
      </c>
      <c r="L135" s="2">
        <f>'[1]Prévisions Entrées-Encaiss'!L84</f>
        <v>0</v>
      </c>
      <c r="M135" s="2">
        <f>'[1]Prévisions Entrées-Encaiss'!M84</f>
        <v>0</v>
      </c>
      <c r="N135" s="2">
        <f>'[1]Prévisions Entrées-Encaiss'!N84</f>
        <v>0</v>
      </c>
      <c r="O135" s="2">
        <f>'[1]Prévisions Entrées-Encaiss'!O84</f>
        <v>0</v>
      </c>
      <c r="P135" s="2">
        <f>'[1]Prévisions Entrées-Encaiss'!P84</f>
        <v>0</v>
      </c>
      <c r="Q135" s="2">
        <f>'[1]Prévisions Entrées-Encaiss'!Q84</f>
        <v>0</v>
      </c>
      <c r="R135" s="2">
        <f>'[1]Prévisions Entrées-Encaiss'!R84</f>
        <v>0</v>
      </c>
      <c r="S135" s="2">
        <f t="shared" si="21"/>
        <v>0</v>
      </c>
    </row>
    <row r="136" spans="1:19" x14ac:dyDescent="0.25">
      <c r="A136" s="59"/>
      <c r="B136" s="7" t="s">
        <v>96</v>
      </c>
      <c r="C136" s="2">
        <f>'[1]Prévisions Entrées-Encaiss'!C85</f>
        <v>0</v>
      </c>
      <c r="D136" s="2">
        <f>'[1]Prévisions Entrées-Encaiss'!D85</f>
        <v>0</v>
      </c>
      <c r="E136" s="2">
        <f>'[1]Prévisions Entrées-Encaiss'!E85</f>
        <v>0</v>
      </c>
      <c r="F136" s="2">
        <f>'[1]Prévisions Entrées-Encaiss'!F85</f>
        <v>0</v>
      </c>
      <c r="G136" s="2">
        <f>'[1]Prévisions Entrées-Encaiss'!G85</f>
        <v>0</v>
      </c>
      <c r="H136" s="2">
        <f>'[1]Prévisions Entrées-Encaiss'!H85</f>
        <v>0</v>
      </c>
      <c r="I136" s="2">
        <f>'[1]Prévisions Entrées-Encaiss'!I85</f>
        <v>0</v>
      </c>
      <c r="J136" s="2">
        <f>'[1]Prévisions Entrées-Encaiss'!J85</f>
        <v>0</v>
      </c>
      <c r="K136" s="2">
        <f>'[1]Prévisions Entrées-Encaiss'!K85</f>
        <v>0</v>
      </c>
      <c r="L136" s="2">
        <f>'[1]Prévisions Entrées-Encaiss'!L85</f>
        <v>0</v>
      </c>
      <c r="M136" s="2">
        <f>'[1]Prévisions Entrées-Encaiss'!M85</f>
        <v>0</v>
      </c>
      <c r="N136" s="2">
        <f>'[1]Prévisions Entrées-Encaiss'!N85</f>
        <v>0</v>
      </c>
      <c r="O136" s="2">
        <f>'[1]Prévisions Entrées-Encaiss'!O85</f>
        <v>0</v>
      </c>
      <c r="P136" s="2">
        <f>'[1]Prévisions Entrées-Encaiss'!P85</f>
        <v>0</v>
      </c>
      <c r="Q136" s="2">
        <f>'[1]Prévisions Entrées-Encaiss'!Q85</f>
        <v>0</v>
      </c>
      <c r="R136" s="2">
        <f>'[1]Prévisions Entrées-Encaiss'!R85</f>
        <v>0</v>
      </c>
      <c r="S136" s="2">
        <f>SUM(C34:N34,C68:N68,C103:N103,C136:R136)</f>
        <v>0</v>
      </c>
    </row>
    <row r="137" spans="1:19" x14ac:dyDescent="0.25">
      <c r="A137" s="56" t="s">
        <v>107</v>
      </c>
      <c r="B137" s="57"/>
      <c r="C137" s="2">
        <f>'[1]Prévisions Entrées-Encaiss'!C86</f>
        <v>0</v>
      </c>
      <c r="D137" s="2">
        <f>'[1]Prévisions Entrées-Encaiss'!D86</f>
        <v>0</v>
      </c>
      <c r="E137" s="2">
        <f>'[1]Prévisions Entrées-Encaiss'!E86</f>
        <v>0</v>
      </c>
      <c r="F137" s="2">
        <f>'[1]Prévisions Entrées-Encaiss'!F86</f>
        <v>0</v>
      </c>
      <c r="G137" s="2">
        <f>'[1]Prévisions Entrées-Encaiss'!G86</f>
        <v>0</v>
      </c>
      <c r="H137" s="2">
        <f>'[1]Prévisions Entrées-Encaiss'!H86</f>
        <v>0</v>
      </c>
      <c r="I137" s="2">
        <f>'[1]Prévisions Entrées-Encaiss'!I86</f>
        <v>0</v>
      </c>
      <c r="J137" s="2">
        <f>'[1]Prévisions Entrées-Encaiss'!J86</f>
        <v>0</v>
      </c>
      <c r="K137" s="2">
        <f>'[1]Prévisions Entrées-Encaiss'!K86</f>
        <v>0</v>
      </c>
      <c r="L137" s="2">
        <f>'[1]Prévisions Entrées-Encaiss'!L86</f>
        <v>0</v>
      </c>
      <c r="M137" s="2">
        <f>'[1]Prévisions Entrées-Encaiss'!M86</f>
        <v>0</v>
      </c>
      <c r="N137" s="2">
        <f>'[1]Prévisions Entrées-Encaiss'!N86</f>
        <v>0</v>
      </c>
      <c r="O137" s="2">
        <f>'[1]Prévisions Entrées-Encaiss'!O86</f>
        <v>0</v>
      </c>
      <c r="P137" s="2">
        <f>'[1]Prévisions Entrées-Encaiss'!P86</f>
        <v>0</v>
      </c>
      <c r="Q137" s="2">
        <f>'[1]Prévisions Entrées-Encaiss'!Q86</f>
        <v>0</v>
      </c>
      <c r="R137" s="2">
        <f>'[1]Prévisions Entrées-Encaiss'!R86</f>
        <v>0</v>
      </c>
      <c r="S137" s="2">
        <f>SUM(C34:N34,C69:N69,C104:N104,C137:R137)</f>
        <v>0</v>
      </c>
    </row>
    <row r="138" spans="1:19" x14ac:dyDescent="0.25">
      <c r="A138" s="64" t="s">
        <v>108</v>
      </c>
      <c r="B138" s="65"/>
      <c r="C138" s="9">
        <f>SUM(C127:C137)</f>
        <v>0</v>
      </c>
      <c r="D138" s="9">
        <f t="shared" ref="D138:R138" si="22">SUM(D127:D137)</f>
        <v>0</v>
      </c>
      <c r="E138" s="9">
        <f t="shared" si="22"/>
        <v>0</v>
      </c>
      <c r="F138" s="9">
        <f t="shared" si="22"/>
        <v>0</v>
      </c>
      <c r="G138" s="9">
        <f t="shared" si="22"/>
        <v>0</v>
      </c>
      <c r="H138" s="9">
        <f t="shared" si="22"/>
        <v>0</v>
      </c>
      <c r="I138" s="9">
        <f t="shared" si="22"/>
        <v>0</v>
      </c>
      <c r="J138" s="9">
        <f t="shared" si="22"/>
        <v>0</v>
      </c>
      <c r="K138" s="9">
        <f t="shared" si="22"/>
        <v>0</v>
      </c>
      <c r="L138" s="9">
        <f t="shared" si="22"/>
        <v>0</v>
      </c>
      <c r="M138" s="9">
        <f t="shared" si="22"/>
        <v>0</v>
      </c>
      <c r="N138" s="9">
        <f t="shared" si="22"/>
        <v>0</v>
      </c>
      <c r="O138" s="9">
        <f t="shared" si="22"/>
        <v>0</v>
      </c>
      <c r="P138" s="9">
        <f t="shared" si="22"/>
        <v>0</v>
      </c>
      <c r="Q138" s="9">
        <f t="shared" si="22"/>
        <v>0</v>
      </c>
      <c r="R138" s="9">
        <f t="shared" si="22"/>
        <v>0</v>
      </c>
      <c r="S138" s="9">
        <f>SUM(C35:N35,C70:N70,C105:N105,C138:R138)</f>
        <v>0</v>
      </c>
    </row>
    <row r="139" spans="1:19" x14ac:dyDescent="0.25">
      <c r="A139" s="66" t="s">
        <v>109</v>
      </c>
      <c r="B139" s="67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spans="1:19" x14ac:dyDescent="0.25">
      <c r="A140" s="68" t="s">
        <v>14</v>
      </c>
      <c r="B140" s="69"/>
      <c r="C140" s="2">
        <f>'[1]Prévisions Dépenses-Décaiss'!C80</f>
        <v>0</v>
      </c>
      <c r="D140" s="2">
        <f>'[1]Prévisions Dépenses-Décaiss'!D80</f>
        <v>0</v>
      </c>
      <c r="E140" s="2">
        <f>'[1]Prévisions Dépenses-Décaiss'!E80</f>
        <v>0</v>
      </c>
      <c r="F140" s="2">
        <f>'[1]Prévisions Dépenses-Décaiss'!F80</f>
        <v>0</v>
      </c>
      <c r="G140" s="2">
        <f>'[1]Prévisions Dépenses-Décaiss'!G80</f>
        <v>0</v>
      </c>
      <c r="H140" s="2">
        <f>'[1]Prévisions Dépenses-Décaiss'!H80</f>
        <v>0</v>
      </c>
      <c r="I140" s="2">
        <f>'[1]Prévisions Dépenses-Décaiss'!I80</f>
        <v>0</v>
      </c>
      <c r="J140" s="2">
        <f>'[1]Prévisions Dépenses-Décaiss'!J80</f>
        <v>0</v>
      </c>
      <c r="K140" s="2">
        <f>'[1]Prévisions Dépenses-Décaiss'!K80</f>
        <v>0</v>
      </c>
      <c r="L140" s="2">
        <f>'[1]Prévisions Dépenses-Décaiss'!L80</f>
        <v>0</v>
      </c>
      <c r="M140" s="2">
        <f>'[1]Prévisions Dépenses-Décaiss'!M80</f>
        <v>0</v>
      </c>
      <c r="N140" s="2">
        <f>'[1]Prévisions Dépenses-Décaiss'!N80</f>
        <v>0</v>
      </c>
      <c r="O140" s="2">
        <f>'[1]Prévisions Dépenses-Décaiss'!O80</f>
        <v>0</v>
      </c>
      <c r="P140" s="2">
        <f>'[1]Prévisions Dépenses-Décaiss'!P80</f>
        <v>0</v>
      </c>
      <c r="Q140" s="2">
        <f>'[1]Prévisions Dépenses-Décaiss'!Q80</f>
        <v>0</v>
      </c>
      <c r="R140" s="2">
        <f>'[1]Prévisions Dépenses-Décaiss'!R80</f>
        <v>0</v>
      </c>
      <c r="S140" s="37">
        <f>SUM(C37:N37,C72:N72,C107:N107,C140:R140)</f>
        <v>0</v>
      </c>
    </row>
    <row r="141" spans="1:19" x14ac:dyDescent="0.25">
      <c r="A141" s="68" t="s">
        <v>15</v>
      </c>
      <c r="B141" s="69"/>
      <c r="C141" s="2">
        <f>'[1]Prévisions Dépenses-Décaiss'!C81</f>
        <v>0</v>
      </c>
      <c r="D141" s="2">
        <f>'[1]Prévisions Dépenses-Décaiss'!D81</f>
        <v>0</v>
      </c>
      <c r="E141" s="2">
        <f>'[1]Prévisions Dépenses-Décaiss'!E81</f>
        <v>0</v>
      </c>
      <c r="F141" s="2">
        <f>'[1]Prévisions Dépenses-Décaiss'!F81</f>
        <v>0</v>
      </c>
      <c r="G141" s="2">
        <f>'[1]Prévisions Dépenses-Décaiss'!G81</f>
        <v>0</v>
      </c>
      <c r="H141" s="2">
        <f>'[1]Prévisions Dépenses-Décaiss'!H81</f>
        <v>0</v>
      </c>
      <c r="I141" s="2">
        <f>'[1]Prévisions Dépenses-Décaiss'!I81</f>
        <v>0</v>
      </c>
      <c r="J141" s="2">
        <f>'[1]Prévisions Dépenses-Décaiss'!J81</f>
        <v>0</v>
      </c>
      <c r="K141" s="2">
        <f>'[1]Prévisions Dépenses-Décaiss'!K81</f>
        <v>0</v>
      </c>
      <c r="L141" s="2">
        <f>'[1]Prévisions Dépenses-Décaiss'!L81</f>
        <v>0</v>
      </c>
      <c r="M141" s="2">
        <f>'[1]Prévisions Dépenses-Décaiss'!M81</f>
        <v>0</v>
      </c>
      <c r="N141" s="2">
        <f>'[1]Prévisions Dépenses-Décaiss'!N81</f>
        <v>0</v>
      </c>
      <c r="O141" s="2">
        <f>'[1]Prévisions Dépenses-Décaiss'!O81</f>
        <v>0</v>
      </c>
      <c r="P141" s="2">
        <f>'[1]Prévisions Dépenses-Décaiss'!P81</f>
        <v>0</v>
      </c>
      <c r="Q141" s="2">
        <f>'[1]Prévisions Dépenses-Décaiss'!Q81</f>
        <v>0</v>
      </c>
      <c r="R141" s="2">
        <f>'[1]Prévisions Dépenses-Décaiss'!R81</f>
        <v>0</v>
      </c>
      <c r="S141" s="37">
        <f t="shared" ref="S141:S150" si="23">SUM(C38:N38,C73:N73,C108:N108,C141:R141)</f>
        <v>0</v>
      </c>
    </row>
    <row r="142" spans="1:19" x14ac:dyDescent="0.25">
      <c r="A142" s="68" t="s">
        <v>16</v>
      </c>
      <c r="B142" s="69"/>
      <c r="C142" s="2">
        <f>'[1]Prévisions Dépenses-Décaiss'!C82</f>
        <v>0</v>
      </c>
      <c r="D142" s="2">
        <f>'[1]Prévisions Dépenses-Décaiss'!D82</f>
        <v>0</v>
      </c>
      <c r="E142" s="2">
        <f>'[1]Prévisions Dépenses-Décaiss'!E82</f>
        <v>0</v>
      </c>
      <c r="F142" s="2">
        <f>'[1]Prévisions Dépenses-Décaiss'!F82</f>
        <v>0</v>
      </c>
      <c r="G142" s="2">
        <f>'[1]Prévisions Dépenses-Décaiss'!G82</f>
        <v>0</v>
      </c>
      <c r="H142" s="2">
        <f>'[1]Prévisions Dépenses-Décaiss'!H82</f>
        <v>0</v>
      </c>
      <c r="I142" s="2">
        <f>'[1]Prévisions Dépenses-Décaiss'!I82</f>
        <v>0</v>
      </c>
      <c r="J142" s="2">
        <f>'[1]Prévisions Dépenses-Décaiss'!J82</f>
        <v>0</v>
      </c>
      <c r="K142" s="2">
        <f>'[1]Prévisions Dépenses-Décaiss'!K82</f>
        <v>0</v>
      </c>
      <c r="L142" s="2">
        <f>'[1]Prévisions Dépenses-Décaiss'!L82</f>
        <v>0</v>
      </c>
      <c r="M142" s="2">
        <f>'[1]Prévisions Dépenses-Décaiss'!M82</f>
        <v>0</v>
      </c>
      <c r="N142" s="2">
        <f>'[1]Prévisions Dépenses-Décaiss'!N82</f>
        <v>0</v>
      </c>
      <c r="O142" s="2">
        <f>'[1]Prévisions Dépenses-Décaiss'!O82</f>
        <v>0</v>
      </c>
      <c r="P142" s="2">
        <f>'[1]Prévisions Dépenses-Décaiss'!P82</f>
        <v>0</v>
      </c>
      <c r="Q142" s="2">
        <f>'[1]Prévisions Dépenses-Décaiss'!Q82</f>
        <v>0</v>
      </c>
      <c r="R142" s="2">
        <f>'[1]Prévisions Dépenses-Décaiss'!R82</f>
        <v>0</v>
      </c>
      <c r="S142" s="37">
        <f t="shared" si="23"/>
        <v>0</v>
      </c>
    </row>
    <row r="143" spans="1:19" x14ac:dyDescent="0.25">
      <c r="A143" s="68" t="s">
        <v>17</v>
      </c>
      <c r="B143" s="69"/>
      <c r="C143" s="2">
        <f>'[1]Prévisions Dépenses-Décaiss'!C83</f>
        <v>0</v>
      </c>
      <c r="D143" s="2">
        <f>'[1]Prévisions Dépenses-Décaiss'!D83</f>
        <v>0</v>
      </c>
      <c r="E143" s="2">
        <f>'[1]Prévisions Dépenses-Décaiss'!E83</f>
        <v>0</v>
      </c>
      <c r="F143" s="2">
        <f>'[1]Prévisions Dépenses-Décaiss'!F83</f>
        <v>0</v>
      </c>
      <c r="G143" s="2">
        <f>'[1]Prévisions Dépenses-Décaiss'!G83</f>
        <v>0</v>
      </c>
      <c r="H143" s="2">
        <f>'[1]Prévisions Dépenses-Décaiss'!H83</f>
        <v>0</v>
      </c>
      <c r="I143" s="2">
        <f>'[1]Prévisions Dépenses-Décaiss'!I83</f>
        <v>0</v>
      </c>
      <c r="J143" s="2">
        <f>'[1]Prévisions Dépenses-Décaiss'!J83</f>
        <v>0</v>
      </c>
      <c r="K143" s="2">
        <f>'[1]Prévisions Dépenses-Décaiss'!K83</f>
        <v>0</v>
      </c>
      <c r="L143" s="2">
        <f>'[1]Prévisions Dépenses-Décaiss'!L83</f>
        <v>0</v>
      </c>
      <c r="M143" s="2">
        <f>'[1]Prévisions Dépenses-Décaiss'!M83</f>
        <v>0</v>
      </c>
      <c r="N143" s="2">
        <f>'[1]Prévisions Dépenses-Décaiss'!N83</f>
        <v>0</v>
      </c>
      <c r="O143" s="2">
        <f>'[1]Prévisions Dépenses-Décaiss'!O83</f>
        <v>0</v>
      </c>
      <c r="P143" s="2">
        <f>'[1]Prévisions Dépenses-Décaiss'!P83</f>
        <v>0</v>
      </c>
      <c r="Q143" s="2">
        <f>'[1]Prévisions Dépenses-Décaiss'!Q83</f>
        <v>0</v>
      </c>
      <c r="R143" s="2">
        <f>'[1]Prévisions Dépenses-Décaiss'!R83</f>
        <v>0</v>
      </c>
      <c r="S143" s="37">
        <f t="shared" si="23"/>
        <v>0</v>
      </c>
    </row>
    <row r="144" spans="1:19" x14ac:dyDescent="0.25">
      <c r="A144" s="68" t="s">
        <v>18</v>
      </c>
      <c r="B144" s="69"/>
      <c r="C144" s="2">
        <f>'[1]Prévisions Dépenses-Décaiss'!C84</f>
        <v>0</v>
      </c>
      <c r="D144" s="2">
        <f>'[1]Prévisions Dépenses-Décaiss'!D84</f>
        <v>0</v>
      </c>
      <c r="E144" s="2">
        <f>'[1]Prévisions Dépenses-Décaiss'!E84</f>
        <v>0</v>
      </c>
      <c r="F144" s="2">
        <f>'[1]Prévisions Dépenses-Décaiss'!F84</f>
        <v>0</v>
      </c>
      <c r="G144" s="2">
        <f>'[1]Prévisions Dépenses-Décaiss'!G84</f>
        <v>0</v>
      </c>
      <c r="H144" s="2">
        <f>'[1]Prévisions Dépenses-Décaiss'!H84</f>
        <v>0</v>
      </c>
      <c r="I144" s="2">
        <f>'[1]Prévisions Dépenses-Décaiss'!I84</f>
        <v>0</v>
      </c>
      <c r="J144" s="2">
        <f>'[1]Prévisions Dépenses-Décaiss'!J84</f>
        <v>0</v>
      </c>
      <c r="K144" s="2">
        <f>'[1]Prévisions Dépenses-Décaiss'!K84</f>
        <v>0</v>
      </c>
      <c r="L144" s="2">
        <f>'[1]Prévisions Dépenses-Décaiss'!L84</f>
        <v>0</v>
      </c>
      <c r="M144" s="2">
        <f>'[1]Prévisions Dépenses-Décaiss'!M84</f>
        <v>0</v>
      </c>
      <c r="N144" s="2">
        <f>'[1]Prévisions Dépenses-Décaiss'!N84</f>
        <v>0</v>
      </c>
      <c r="O144" s="2">
        <f>'[1]Prévisions Dépenses-Décaiss'!O84</f>
        <v>0</v>
      </c>
      <c r="P144" s="2">
        <f>'[1]Prévisions Dépenses-Décaiss'!P84</f>
        <v>0</v>
      </c>
      <c r="Q144" s="2">
        <f>'[1]Prévisions Dépenses-Décaiss'!Q84</f>
        <v>0</v>
      </c>
      <c r="R144" s="2">
        <f>'[1]Prévisions Dépenses-Décaiss'!R84</f>
        <v>0</v>
      </c>
      <c r="S144" s="37">
        <f t="shared" si="23"/>
        <v>0</v>
      </c>
    </row>
    <row r="145" spans="1:19" x14ac:dyDescent="0.25">
      <c r="A145" s="70" t="s">
        <v>111</v>
      </c>
      <c r="B145" s="31" t="s">
        <v>112</v>
      </c>
      <c r="C145" s="2">
        <f>'[1]Prévisions Dépenses-Décaiss'!C86</f>
        <v>0</v>
      </c>
      <c r="D145" s="2">
        <f>'[1]Prévisions Dépenses-Décaiss'!D86</f>
        <v>0</v>
      </c>
      <c r="E145" s="2">
        <f>'[1]Prévisions Dépenses-Décaiss'!E86</f>
        <v>0</v>
      </c>
      <c r="F145" s="2">
        <f>'[1]Prévisions Dépenses-Décaiss'!F86</f>
        <v>0</v>
      </c>
      <c r="G145" s="2">
        <f>'[1]Prévisions Dépenses-Décaiss'!G86</f>
        <v>0</v>
      </c>
      <c r="H145" s="2">
        <f>'[1]Prévisions Dépenses-Décaiss'!H86</f>
        <v>0</v>
      </c>
      <c r="I145" s="2">
        <f>'[1]Prévisions Dépenses-Décaiss'!I86</f>
        <v>0</v>
      </c>
      <c r="J145" s="2">
        <f>'[1]Prévisions Dépenses-Décaiss'!J86</f>
        <v>0</v>
      </c>
      <c r="K145" s="2">
        <f>'[1]Prévisions Dépenses-Décaiss'!K86</f>
        <v>0</v>
      </c>
      <c r="L145" s="2">
        <f>'[1]Prévisions Dépenses-Décaiss'!L86</f>
        <v>0</v>
      </c>
      <c r="M145" s="2">
        <f>'[1]Prévisions Dépenses-Décaiss'!M86</f>
        <v>0</v>
      </c>
      <c r="N145" s="2">
        <f>'[1]Prévisions Dépenses-Décaiss'!N86</f>
        <v>0</v>
      </c>
      <c r="O145" s="2">
        <f>'[1]Prévisions Dépenses-Décaiss'!O86</f>
        <v>0</v>
      </c>
      <c r="P145" s="2">
        <f>'[1]Prévisions Dépenses-Décaiss'!P86</f>
        <v>0</v>
      </c>
      <c r="Q145" s="2">
        <f>'[1]Prévisions Dépenses-Décaiss'!Q86</f>
        <v>0</v>
      </c>
      <c r="R145" s="2">
        <f>'[1]Prévisions Dépenses-Décaiss'!R86</f>
        <v>0</v>
      </c>
      <c r="S145" s="37">
        <f t="shared" si="23"/>
        <v>0</v>
      </c>
    </row>
    <row r="146" spans="1:19" x14ac:dyDescent="0.25">
      <c r="A146" s="71"/>
      <c r="B146" s="31" t="s">
        <v>113</v>
      </c>
      <c r="C146" s="2">
        <f>'[1]Prévisions Dépenses-Décaiss'!C87</f>
        <v>0</v>
      </c>
      <c r="D146" s="2">
        <f>'[1]Prévisions Dépenses-Décaiss'!D87</f>
        <v>0</v>
      </c>
      <c r="E146" s="2">
        <f>'[1]Prévisions Dépenses-Décaiss'!E87</f>
        <v>0</v>
      </c>
      <c r="F146" s="2">
        <f>'[1]Prévisions Dépenses-Décaiss'!F87</f>
        <v>0</v>
      </c>
      <c r="G146" s="2">
        <f>'[1]Prévisions Dépenses-Décaiss'!G87</f>
        <v>0</v>
      </c>
      <c r="H146" s="2">
        <f>'[1]Prévisions Dépenses-Décaiss'!H87</f>
        <v>0</v>
      </c>
      <c r="I146" s="2">
        <f>'[1]Prévisions Dépenses-Décaiss'!I87</f>
        <v>0</v>
      </c>
      <c r="J146" s="2">
        <f>'[1]Prévisions Dépenses-Décaiss'!J87</f>
        <v>0</v>
      </c>
      <c r="K146" s="2">
        <f>'[1]Prévisions Dépenses-Décaiss'!K87</f>
        <v>0</v>
      </c>
      <c r="L146" s="2">
        <f>'[1]Prévisions Dépenses-Décaiss'!L87</f>
        <v>0</v>
      </c>
      <c r="M146" s="2">
        <f>'[1]Prévisions Dépenses-Décaiss'!M87</f>
        <v>0</v>
      </c>
      <c r="N146" s="2">
        <f>'[1]Prévisions Dépenses-Décaiss'!N87</f>
        <v>0</v>
      </c>
      <c r="O146" s="2">
        <f>'[1]Prévisions Dépenses-Décaiss'!O87</f>
        <v>0</v>
      </c>
      <c r="P146" s="2">
        <f>'[1]Prévisions Dépenses-Décaiss'!P87</f>
        <v>0</v>
      </c>
      <c r="Q146" s="2">
        <f>'[1]Prévisions Dépenses-Décaiss'!Q87</f>
        <v>0</v>
      </c>
      <c r="R146" s="2">
        <f>'[1]Prévisions Dépenses-Décaiss'!R87</f>
        <v>0</v>
      </c>
      <c r="S146" s="37">
        <f t="shared" si="23"/>
        <v>0</v>
      </c>
    </row>
    <row r="147" spans="1:19" x14ac:dyDescent="0.25">
      <c r="A147" s="72"/>
      <c r="B147" s="32" t="s">
        <v>114</v>
      </c>
      <c r="C147" s="2">
        <f>'[1]Prévisions Dépenses-Décaiss'!C88</f>
        <v>0</v>
      </c>
      <c r="D147" s="2">
        <f>'[1]Prévisions Dépenses-Décaiss'!D88</f>
        <v>0</v>
      </c>
      <c r="E147" s="2">
        <f>'[1]Prévisions Dépenses-Décaiss'!E88</f>
        <v>0</v>
      </c>
      <c r="F147" s="2">
        <f>'[1]Prévisions Dépenses-Décaiss'!F88</f>
        <v>0</v>
      </c>
      <c r="G147" s="2">
        <f>'[1]Prévisions Dépenses-Décaiss'!G88</f>
        <v>0</v>
      </c>
      <c r="H147" s="2">
        <f>'[1]Prévisions Dépenses-Décaiss'!H88</f>
        <v>0</v>
      </c>
      <c r="I147" s="2">
        <f>'[1]Prévisions Dépenses-Décaiss'!I88</f>
        <v>0</v>
      </c>
      <c r="J147" s="2">
        <f>'[1]Prévisions Dépenses-Décaiss'!J88</f>
        <v>0</v>
      </c>
      <c r="K147" s="2">
        <f>'[1]Prévisions Dépenses-Décaiss'!K88</f>
        <v>0</v>
      </c>
      <c r="L147" s="2">
        <f>'[1]Prévisions Dépenses-Décaiss'!L88</f>
        <v>0</v>
      </c>
      <c r="M147" s="2">
        <f>'[1]Prévisions Dépenses-Décaiss'!M88</f>
        <v>0</v>
      </c>
      <c r="N147" s="2">
        <f>'[1]Prévisions Dépenses-Décaiss'!N88</f>
        <v>0</v>
      </c>
      <c r="O147" s="2">
        <f>'[1]Prévisions Dépenses-Décaiss'!O88</f>
        <v>0</v>
      </c>
      <c r="P147" s="2">
        <f>'[1]Prévisions Dépenses-Décaiss'!P88</f>
        <v>0</v>
      </c>
      <c r="Q147" s="2">
        <f>'[1]Prévisions Dépenses-Décaiss'!Q88</f>
        <v>0</v>
      </c>
      <c r="R147" s="2">
        <f>'[1]Prévisions Dépenses-Décaiss'!R88</f>
        <v>0</v>
      </c>
      <c r="S147" s="37">
        <f t="shared" si="23"/>
        <v>0</v>
      </c>
    </row>
    <row r="148" spans="1:19" x14ac:dyDescent="0.25">
      <c r="A148" s="68" t="s">
        <v>24</v>
      </c>
      <c r="B148" s="69"/>
      <c r="C148" s="2">
        <f>'[1]Prévisions Dépenses-Décaiss'!C89</f>
        <v>0</v>
      </c>
      <c r="D148" s="2">
        <f>'[1]Prévisions Dépenses-Décaiss'!D89</f>
        <v>0</v>
      </c>
      <c r="E148" s="2">
        <f>'[1]Prévisions Dépenses-Décaiss'!E89</f>
        <v>0</v>
      </c>
      <c r="F148" s="2">
        <f>'[1]Prévisions Dépenses-Décaiss'!F89</f>
        <v>0</v>
      </c>
      <c r="G148" s="2">
        <f>'[1]Prévisions Dépenses-Décaiss'!G89</f>
        <v>0</v>
      </c>
      <c r="H148" s="2">
        <f>'[1]Prévisions Dépenses-Décaiss'!H89</f>
        <v>0</v>
      </c>
      <c r="I148" s="2">
        <f>'[1]Prévisions Dépenses-Décaiss'!I89</f>
        <v>0</v>
      </c>
      <c r="J148" s="2">
        <f>'[1]Prévisions Dépenses-Décaiss'!J89</f>
        <v>0</v>
      </c>
      <c r="K148" s="2">
        <f>'[1]Prévisions Dépenses-Décaiss'!K89</f>
        <v>0</v>
      </c>
      <c r="L148" s="2">
        <f>'[1]Prévisions Dépenses-Décaiss'!L89</f>
        <v>0</v>
      </c>
      <c r="M148" s="2">
        <f>'[1]Prévisions Dépenses-Décaiss'!M89</f>
        <v>0</v>
      </c>
      <c r="N148" s="2">
        <f>'[1]Prévisions Dépenses-Décaiss'!N89</f>
        <v>0</v>
      </c>
      <c r="O148" s="2">
        <f>'[1]Prévisions Dépenses-Décaiss'!O89</f>
        <v>0</v>
      </c>
      <c r="P148" s="2">
        <f>'[1]Prévisions Dépenses-Décaiss'!P89</f>
        <v>0</v>
      </c>
      <c r="Q148" s="2">
        <f>'[1]Prévisions Dépenses-Décaiss'!Q89</f>
        <v>0</v>
      </c>
      <c r="R148" s="2">
        <f>'[1]Prévisions Dépenses-Décaiss'!R89</f>
        <v>0</v>
      </c>
      <c r="S148" s="37">
        <f t="shared" si="23"/>
        <v>0</v>
      </c>
    </row>
    <row r="149" spans="1:19" x14ac:dyDescent="0.25">
      <c r="A149" s="68" t="s">
        <v>25</v>
      </c>
      <c r="B149" s="69"/>
      <c r="C149" s="2">
        <f>'[1]Prévisions Dépenses-Décaiss'!C90</f>
        <v>0</v>
      </c>
      <c r="D149" s="2">
        <f>'[1]Prévisions Dépenses-Décaiss'!D90</f>
        <v>0</v>
      </c>
      <c r="E149" s="2">
        <f>'[1]Prévisions Dépenses-Décaiss'!E90</f>
        <v>0</v>
      </c>
      <c r="F149" s="2">
        <f>'[1]Prévisions Dépenses-Décaiss'!F90</f>
        <v>0</v>
      </c>
      <c r="G149" s="2">
        <f>'[1]Prévisions Dépenses-Décaiss'!G90</f>
        <v>0</v>
      </c>
      <c r="H149" s="2">
        <f>'[1]Prévisions Dépenses-Décaiss'!H90</f>
        <v>0</v>
      </c>
      <c r="I149" s="2">
        <f>'[1]Prévisions Dépenses-Décaiss'!I90</f>
        <v>0</v>
      </c>
      <c r="J149" s="2">
        <f>'[1]Prévisions Dépenses-Décaiss'!J90</f>
        <v>0</v>
      </c>
      <c r="K149" s="2">
        <f>'[1]Prévisions Dépenses-Décaiss'!K90</f>
        <v>0</v>
      </c>
      <c r="L149" s="2">
        <f>'[1]Prévisions Dépenses-Décaiss'!L90</f>
        <v>0</v>
      </c>
      <c r="M149" s="2">
        <f>'[1]Prévisions Dépenses-Décaiss'!M90</f>
        <v>0</v>
      </c>
      <c r="N149" s="2">
        <f>'[1]Prévisions Dépenses-Décaiss'!N90</f>
        <v>0</v>
      </c>
      <c r="O149" s="2">
        <f>'[1]Prévisions Dépenses-Décaiss'!O90</f>
        <v>0</v>
      </c>
      <c r="P149" s="2">
        <f>'[1]Prévisions Dépenses-Décaiss'!P90</f>
        <v>0</v>
      </c>
      <c r="Q149" s="2">
        <f>'[1]Prévisions Dépenses-Décaiss'!Q90</f>
        <v>0</v>
      </c>
      <c r="R149" s="2">
        <f>'[1]Prévisions Dépenses-Décaiss'!R90</f>
        <v>0</v>
      </c>
      <c r="S149" s="37">
        <f t="shared" si="23"/>
        <v>0</v>
      </c>
    </row>
    <row r="150" spans="1:19" x14ac:dyDescent="0.25">
      <c r="A150" s="62" t="s">
        <v>115</v>
      </c>
      <c r="B150" s="63"/>
      <c r="C150" s="9">
        <f>SUM(C140:C149)</f>
        <v>0</v>
      </c>
      <c r="D150" s="9">
        <f t="shared" ref="D150:R150" si="24">SUM(D140:D149)</f>
        <v>0</v>
      </c>
      <c r="E150" s="9">
        <f t="shared" si="24"/>
        <v>0</v>
      </c>
      <c r="F150" s="9">
        <f t="shared" si="24"/>
        <v>0</v>
      </c>
      <c r="G150" s="9">
        <f t="shared" si="24"/>
        <v>0</v>
      </c>
      <c r="H150" s="9">
        <f t="shared" si="24"/>
        <v>0</v>
      </c>
      <c r="I150" s="9">
        <f t="shared" si="24"/>
        <v>0</v>
      </c>
      <c r="J150" s="9">
        <f t="shared" si="24"/>
        <v>0</v>
      </c>
      <c r="K150" s="9">
        <f t="shared" si="24"/>
        <v>0</v>
      </c>
      <c r="L150" s="9">
        <f t="shared" si="24"/>
        <v>0</v>
      </c>
      <c r="M150" s="9">
        <f t="shared" si="24"/>
        <v>0</v>
      </c>
      <c r="N150" s="9">
        <f t="shared" si="24"/>
        <v>0</v>
      </c>
      <c r="O150" s="9">
        <f t="shared" si="24"/>
        <v>0</v>
      </c>
      <c r="P150" s="9">
        <f t="shared" si="24"/>
        <v>0</v>
      </c>
      <c r="Q150" s="9">
        <f t="shared" si="24"/>
        <v>0</v>
      </c>
      <c r="R150" s="9">
        <f t="shared" si="24"/>
        <v>0</v>
      </c>
      <c r="S150" s="38">
        <f t="shared" si="23"/>
        <v>0</v>
      </c>
    </row>
    <row r="151" spans="1:19" x14ac:dyDescent="0.25">
      <c r="A151" s="60" t="s">
        <v>116</v>
      </c>
      <c r="B151" s="61"/>
      <c r="C151" s="26">
        <f>N122</f>
        <v>0</v>
      </c>
      <c r="D151" s="27">
        <f>C155</f>
        <v>0</v>
      </c>
      <c r="E151" s="27">
        <f>D155</f>
        <v>0</v>
      </c>
      <c r="F151" s="27">
        <f>E155</f>
        <v>0</v>
      </c>
      <c r="G151" s="26">
        <f>F155</f>
        <v>0</v>
      </c>
      <c r="H151" s="27">
        <f>G155</f>
        <v>0</v>
      </c>
      <c r="I151" s="27">
        <f t="shared" ref="I151:O151" si="25">H155</f>
        <v>0</v>
      </c>
      <c r="J151" s="27">
        <f t="shared" si="25"/>
        <v>0</v>
      </c>
      <c r="K151" s="26">
        <f>J155</f>
        <v>0</v>
      </c>
      <c r="L151" s="27">
        <f t="shared" si="25"/>
        <v>0</v>
      </c>
      <c r="M151" s="27">
        <f t="shared" si="25"/>
        <v>0</v>
      </c>
      <c r="N151" s="27">
        <f t="shared" si="25"/>
        <v>0</v>
      </c>
      <c r="O151" s="26">
        <f t="shared" si="25"/>
        <v>0</v>
      </c>
      <c r="P151" s="26">
        <f>O155</f>
        <v>0</v>
      </c>
      <c r="Q151" s="26">
        <f>P155</f>
        <v>0</v>
      </c>
      <c r="R151" s="26">
        <f>Q155</f>
        <v>0</v>
      </c>
      <c r="S151" s="26">
        <f>C48</f>
        <v>0</v>
      </c>
    </row>
    <row r="152" spans="1:19" x14ac:dyDescent="0.25">
      <c r="A152" s="60" t="s">
        <v>106</v>
      </c>
      <c r="B152" s="61"/>
      <c r="C152" s="18">
        <f t="shared" ref="C152:R152" si="26">C138</f>
        <v>0</v>
      </c>
      <c r="D152" s="18">
        <f t="shared" si="26"/>
        <v>0</v>
      </c>
      <c r="E152" s="18">
        <f t="shared" si="26"/>
        <v>0</v>
      </c>
      <c r="F152" s="18">
        <f t="shared" si="26"/>
        <v>0</v>
      </c>
      <c r="G152" s="18">
        <f t="shared" si="26"/>
        <v>0</v>
      </c>
      <c r="H152" s="18">
        <f t="shared" si="26"/>
        <v>0</v>
      </c>
      <c r="I152" s="18">
        <f t="shared" si="26"/>
        <v>0</v>
      </c>
      <c r="J152" s="18">
        <f t="shared" si="26"/>
        <v>0</v>
      </c>
      <c r="K152" s="18">
        <f t="shared" si="26"/>
        <v>0</v>
      </c>
      <c r="L152" s="18">
        <f t="shared" si="26"/>
        <v>0</v>
      </c>
      <c r="M152" s="18">
        <f t="shared" si="26"/>
        <v>0</v>
      </c>
      <c r="N152" s="18">
        <f t="shared" si="26"/>
        <v>0</v>
      </c>
      <c r="O152" s="18">
        <f t="shared" si="26"/>
        <v>0</v>
      </c>
      <c r="P152" s="18">
        <f t="shared" si="26"/>
        <v>0</v>
      </c>
      <c r="Q152" s="18">
        <f>Q138</f>
        <v>0</v>
      </c>
      <c r="R152" s="18">
        <f t="shared" si="26"/>
        <v>0</v>
      </c>
      <c r="S152" s="18">
        <f>S138</f>
        <v>0</v>
      </c>
    </row>
    <row r="153" spans="1:19" x14ac:dyDescent="0.25">
      <c r="A153" s="60" t="s">
        <v>109</v>
      </c>
      <c r="B153" s="61"/>
      <c r="C153" s="18">
        <f t="shared" ref="C153:R153" si="27">C150</f>
        <v>0</v>
      </c>
      <c r="D153" s="18">
        <f t="shared" si="27"/>
        <v>0</v>
      </c>
      <c r="E153" s="18">
        <f t="shared" si="27"/>
        <v>0</v>
      </c>
      <c r="F153" s="18">
        <f t="shared" si="27"/>
        <v>0</v>
      </c>
      <c r="G153" s="18">
        <f t="shared" si="27"/>
        <v>0</v>
      </c>
      <c r="H153" s="18">
        <f t="shared" si="27"/>
        <v>0</v>
      </c>
      <c r="I153" s="18">
        <f t="shared" si="27"/>
        <v>0</v>
      </c>
      <c r="J153" s="18">
        <f t="shared" si="27"/>
        <v>0</v>
      </c>
      <c r="K153" s="18">
        <f t="shared" si="27"/>
        <v>0</v>
      </c>
      <c r="L153" s="18">
        <f t="shared" si="27"/>
        <v>0</v>
      </c>
      <c r="M153" s="18">
        <f t="shared" si="27"/>
        <v>0</v>
      </c>
      <c r="N153" s="18">
        <f t="shared" si="27"/>
        <v>0</v>
      </c>
      <c r="O153" s="18">
        <f t="shared" si="27"/>
        <v>0</v>
      </c>
      <c r="P153" s="18">
        <f t="shared" si="27"/>
        <v>0</v>
      </c>
      <c r="Q153" s="18">
        <f t="shared" si="27"/>
        <v>0</v>
      </c>
      <c r="R153" s="18">
        <f t="shared" si="27"/>
        <v>0</v>
      </c>
      <c r="S153" s="18">
        <f>S150</f>
        <v>0</v>
      </c>
    </row>
    <row r="154" spans="1:19" x14ac:dyDescent="0.25">
      <c r="A154" s="60" t="s">
        <v>117</v>
      </c>
      <c r="B154" s="61"/>
      <c r="C154" s="18">
        <f t="shared" ref="C154:S154" si="28">C152-C153</f>
        <v>0</v>
      </c>
      <c r="D154" s="18">
        <f t="shared" si="28"/>
        <v>0</v>
      </c>
      <c r="E154" s="18">
        <f t="shared" si="28"/>
        <v>0</v>
      </c>
      <c r="F154" s="18">
        <f t="shared" si="28"/>
        <v>0</v>
      </c>
      <c r="G154" s="18">
        <f t="shared" si="28"/>
        <v>0</v>
      </c>
      <c r="H154" s="18">
        <f t="shared" si="28"/>
        <v>0</v>
      </c>
      <c r="I154" s="18">
        <f t="shared" si="28"/>
        <v>0</v>
      </c>
      <c r="J154" s="18">
        <f t="shared" si="28"/>
        <v>0</v>
      </c>
      <c r="K154" s="18">
        <f t="shared" si="28"/>
        <v>0</v>
      </c>
      <c r="L154" s="18">
        <f t="shared" si="28"/>
        <v>0</v>
      </c>
      <c r="M154" s="18">
        <f t="shared" si="28"/>
        <v>0</v>
      </c>
      <c r="N154" s="18">
        <f t="shared" si="28"/>
        <v>0</v>
      </c>
      <c r="O154" s="18">
        <f t="shared" si="28"/>
        <v>0</v>
      </c>
      <c r="P154" s="18">
        <f t="shared" si="28"/>
        <v>0</v>
      </c>
      <c r="Q154" s="18">
        <f t="shared" si="28"/>
        <v>0</v>
      </c>
      <c r="R154" s="18">
        <f t="shared" si="28"/>
        <v>0</v>
      </c>
      <c r="S154" s="18">
        <f t="shared" si="28"/>
        <v>0</v>
      </c>
    </row>
    <row r="155" spans="1:19" x14ac:dyDescent="0.25">
      <c r="A155" s="60" t="s">
        <v>118</v>
      </c>
      <c r="B155" s="61"/>
      <c r="C155" s="18">
        <f t="shared" ref="C155:S155" si="29">C151+C154</f>
        <v>0</v>
      </c>
      <c r="D155" s="18">
        <f t="shared" si="29"/>
        <v>0</v>
      </c>
      <c r="E155" s="18">
        <f t="shared" si="29"/>
        <v>0</v>
      </c>
      <c r="F155" s="28">
        <f t="shared" si="29"/>
        <v>0</v>
      </c>
      <c r="G155" s="18">
        <f t="shared" si="29"/>
        <v>0</v>
      </c>
      <c r="H155" s="18">
        <f t="shared" si="29"/>
        <v>0</v>
      </c>
      <c r="I155" s="18">
        <f t="shared" si="29"/>
        <v>0</v>
      </c>
      <c r="J155" s="28">
        <f t="shared" si="29"/>
        <v>0</v>
      </c>
      <c r="K155" s="18">
        <f t="shared" si="29"/>
        <v>0</v>
      </c>
      <c r="L155" s="18">
        <f t="shared" si="29"/>
        <v>0</v>
      </c>
      <c r="M155" s="18">
        <f t="shared" si="29"/>
        <v>0</v>
      </c>
      <c r="N155" s="28">
        <f t="shared" si="29"/>
        <v>0</v>
      </c>
      <c r="O155" s="18">
        <f t="shared" si="29"/>
        <v>0</v>
      </c>
      <c r="P155" s="18">
        <f t="shared" si="29"/>
        <v>0</v>
      </c>
      <c r="Q155" s="18">
        <f t="shared" si="29"/>
        <v>0</v>
      </c>
      <c r="R155" s="28">
        <f t="shared" si="29"/>
        <v>0</v>
      </c>
      <c r="S155" s="28">
        <f t="shared" si="29"/>
        <v>0</v>
      </c>
    </row>
    <row r="156" spans="1:19" x14ac:dyDescent="0.25">
      <c r="C156" s="2"/>
    </row>
    <row r="157" spans="1:19" x14ac:dyDescent="0.25">
      <c r="C157" s="39"/>
      <c r="D157" s="2"/>
    </row>
    <row r="159" spans="1:19" x14ac:dyDescent="0.25">
      <c r="H159" t="s">
        <v>46</v>
      </c>
    </row>
    <row r="160" spans="1:19" x14ac:dyDescent="0.25">
      <c r="I160" s="40"/>
    </row>
    <row r="162" spans="13:13" x14ac:dyDescent="0.25">
      <c r="M162" t="s">
        <v>46</v>
      </c>
    </row>
  </sheetData>
  <mergeCells count="83">
    <mergeCell ref="A41:B41"/>
    <mergeCell ref="D14:L16"/>
    <mergeCell ref="A22:B22"/>
    <mergeCell ref="A23:B23"/>
    <mergeCell ref="A24:A32"/>
    <mergeCell ref="A34:B34"/>
    <mergeCell ref="A35:B35"/>
    <mergeCell ref="A36:B36"/>
    <mergeCell ref="A37:B37"/>
    <mergeCell ref="A38:B38"/>
    <mergeCell ref="A39:B39"/>
    <mergeCell ref="A40:B40"/>
    <mergeCell ref="A59:A68"/>
    <mergeCell ref="A42:A44"/>
    <mergeCell ref="A45:B45"/>
    <mergeCell ref="A46:B46"/>
    <mergeCell ref="A47:B47"/>
    <mergeCell ref="A48:B48"/>
    <mergeCell ref="A49:B49"/>
    <mergeCell ref="A50:B50"/>
    <mergeCell ref="A51:B51"/>
    <mergeCell ref="A52:B52"/>
    <mergeCell ref="A57:B57"/>
    <mergeCell ref="A58:B58"/>
    <mergeCell ref="A82:B82"/>
    <mergeCell ref="A69:B69"/>
    <mergeCell ref="A70:B70"/>
    <mergeCell ref="A71:B71"/>
    <mergeCell ref="A72:B72"/>
    <mergeCell ref="A73:B73"/>
    <mergeCell ref="A74:B74"/>
    <mergeCell ref="A75:B75"/>
    <mergeCell ref="A76:B76"/>
    <mergeCell ref="A77:A79"/>
    <mergeCell ref="A80:B80"/>
    <mergeCell ref="A81:B81"/>
    <mergeCell ref="A83:B83"/>
    <mergeCell ref="A84:B84"/>
    <mergeCell ref="A85:B85"/>
    <mergeCell ref="A86:B86"/>
    <mergeCell ref="A87:B87"/>
    <mergeCell ref="A111:B111"/>
    <mergeCell ref="J90:K90"/>
    <mergeCell ref="A92:B92"/>
    <mergeCell ref="A93:B93"/>
    <mergeCell ref="A94:A103"/>
    <mergeCell ref="A104:B104"/>
    <mergeCell ref="A105:B105"/>
    <mergeCell ref="C90:D90"/>
    <mergeCell ref="A106:B106"/>
    <mergeCell ref="A107:B107"/>
    <mergeCell ref="A108:B108"/>
    <mergeCell ref="A109:B109"/>
    <mergeCell ref="A110:B110"/>
    <mergeCell ref="A127:A136"/>
    <mergeCell ref="A112:A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5:B125"/>
    <mergeCell ref="A126:B126"/>
    <mergeCell ref="A150:B150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A147"/>
    <mergeCell ref="A148:B148"/>
    <mergeCell ref="A149:B149"/>
    <mergeCell ref="A151:B151"/>
    <mergeCell ref="A152:B152"/>
    <mergeCell ref="A153:B153"/>
    <mergeCell ref="A154:B154"/>
    <mergeCell ref="A155:B155"/>
  </mergeCells>
  <conditionalFormatting sqref="C83">
    <cfRule type="cellIs" dxfId="40" priority="35" operator="lessThan">
      <formula>$C$82</formula>
    </cfRule>
  </conditionalFormatting>
  <conditionalFormatting sqref="C118">
    <cfRule type="cellIs" dxfId="39" priority="18" operator="lessThan">
      <formula>$C$82</formula>
    </cfRule>
  </conditionalFormatting>
  <conditionalFormatting sqref="C151">
    <cfRule type="cellIs" dxfId="38" priority="6" operator="lessThan">
      <formula>$C$82</formula>
    </cfRule>
  </conditionalFormatting>
  <conditionalFormatting sqref="D48">
    <cfRule type="cellIs" dxfId="37" priority="26" operator="lessThan">
      <formula>$D$47</formula>
    </cfRule>
  </conditionalFormatting>
  <conditionalFormatting sqref="D83">
    <cfRule type="cellIs" dxfId="36" priority="21" operator="lessThan">
      <formula>$D$82</formula>
    </cfRule>
  </conditionalFormatting>
  <conditionalFormatting sqref="D118">
    <cfRule type="cellIs" dxfId="35" priority="9" operator="lessThan">
      <formula>$D$82</formula>
    </cfRule>
  </conditionalFormatting>
  <conditionalFormatting sqref="D151">
    <cfRule type="cellIs" dxfId="34" priority="1" operator="lessThan">
      <formula>$D$82</formula>
    </cfRule>
  </conditionalFormatting>
  <conditionalFormatting sqref="E83">
    <cfRule type="cellIs" dxfId="33" priority="34" operator="lessThan">
      <formula>$E$82</formula>
    </cfRule>
  </conditionalFormatting>
  <conditionalFormatting sqref="E118">
    <cfRule type="cellIs" dxfId="32" priority="17" operator="lessThan">
      <formula>$E$82</formula>
    </cfRule>
  </conditionalFormatting>
  <conditionalFormatting sqref="E151">
    <cfRule type="cellIs" dxfId="31" priority="5" operator="lessThan">
      <formula>$E$82</formula>
    </cfRule>
  </conditionalFormatting>
  <conditionalFormatting sqref="F48">
    <cfRule type="cellIs" dxfId="30" priority="25" operator="lessThan">
      <formula>$F$47</formula>
    </cfRule>
  </conditionalFormatting>
  <conditionalFormatting sqref="F83">
    <cfRule type="cellIs" dxfId="29" priority="33" operator="lessThan">
      <formula>$F$82</formula>
    </cfRule>
  </conditionalFormatting>
  <conditionalFormatting sqref="F118">
    <cfRule type="cellIs" dxfId="28" priority="16" operator="lessThan">
      <formula>$F$82</formula>
    </cfRule>
  </conditionalFormatting>
  <conditionalFormatting sqref="F151">
    <cfRule type="cellIs" dxfId="27" priority="4" operator="lessThan">
      <formula>$F$82</formula>
    </cfRule>
  </conditionalFormatting>
  <conditionalFormatting sqref="G48">
    <cfRule type="cellIs" dxfId="26" priority="41" operator="lessThan">
      <formula>$G$37</formula>
    </cfRule>
  </conditionalFormatting>
  <conditionalFormatting sqref="G83">
    <cfRule type="cellIs" dxfId="25" priority="32" operator="lessThan">
      <formula>$G$82</formula>
    </cfRule>
  </conditionalFormatting>
  <conditionalFormatting sqref="G118">
    <cfRule type="cellIs" dxfId="24" priority="15" operator="lessThan">
      <formula>$G$82</formula>
    </cfRule>
  </conditionalFormatting>
  <conditionalFormatting sqref="G151:R151">
    <cfRule type="cellIs" dxfId="23" priority="3" operator="lessThan">
      <formula>$G$82</formula>
    </cfRule>
  </conditionalFormatting>
  <conditionalFormatting sqref="H48">
    <cfRule type="cellIs" dxfId="22" priority="24" operator="lessThan">
      <formula>$H$47</formula>
    </cfRule>
  </conditionalFormatting>
  <conditionalFormatting sqref="H83">
    <cfRule type="cellIs" dxfId="21" priority="20" operator="lessThan">
      <formula>$H$82</formula>
    </cfRule>
  </conditionalFormatting>
  <conditionalFormatting sqref="H118">
    <cfRule type="cellIs" dxfId="20" priority="8" operator="lessThan">
      <formula>$H$82</formula>
    </cfRule>
  </conditionalFormatting>
  <conditionalFormatting sqref="I48">
    <cfRule type="cellIs" dxfId="19" priority="40" operator="lessThan">
      <formula>$I$47</formula>
    </cfRule>
  </conditionalFormatting>
  <conditionalFormatting sqref="I83">
    <cfRule type="cellIs" dxfId="18" priority="31" operator="lessThan">
      <formula>$I$82</formula>
    </cfRule>
  </conditionalFormatting>
  <conditionalFormatting sqref="I118">
    <cfRule type="cellIs" dxfId="17" priority="14" operator="lessThan">
      <formula>$I$82</formula>
    </cfRule>
  </conditionalFormatting>
  <conditionalFormatting sqref="J48">
    <cfRule type="cellIs" dxfId="16" priority="39" operator="lessThan">
      <formula>$J$47</formula>
    </cfRule>
  </conditionalFormatting>
  <conditionalFormatting sqref="J83">
    <cfRule type="cellIs" dxfId="15" priority="30" operator="lessThan">
      <formula>$J$82</formula>
    </cfRule>
  </conditionalFormatting>
  <conditionalFormatting sqref="J118">
    <cfRule type="cellIs" dxfId="14" priority="13" operator="lessThan">
      <formula>$J$82</formula>
    </cfRule>
  </conditionalFormatting>
  <conditionalFormatting sqref="K48">
    <cfRule type="cellIs" dxfId="13" priority="38" operator="lessThan">
      <formula>$K$47</formula>
    </cfRule>
  </conditionalFormatting>
  <conditionalFormatting sqref="K83">
    <cfRule type="cellIs" dxfId="12" priority="29" operator="lessThan">
      <formula>$K$82</formula>
    </cfRule>
  </conditionalFormatting>
  <conditionalFormatting sqref="K118">
    <cfRule type="cellIs" dxfId="11" priority="12" operator="lessThan">
      <formula>$K$82</formula>
    </cfRule>
  </conditionalFormatting>
  <conditionalFormatting sqref="L48">
    <cfRule type="cellIs" dxfId="10" priority="23" operator="lessThan">
      <formula>$L$47</formula>
    </cfRule>
  </conditionalFormatting>
  <conditionalFormatting sqref="L83">
    <cfRule type="cellIs" dxfId="9" priority="19" operator="lessThan">
      <formula>$L$82</formula>
    </cfRule>
  </conditionalFormatting>
  <conditionalFormatting sqref="L118">
    <cfRule type="cellIs" dxfId="8" priority="7" operator="lessThan">
      <formula>$L$82</formula>
    </cfRule>
  </conditionalFormatting>
  <conditionalFormatting sqref="M48">
    <cfRule type="cellIs" dxfId="7" priority="22" operator="lessThan">
      <formula>$M$47</formula>
    </cfRule>
    <cfRule type="cellIs" dxfId="6" priority="37" operator="lessThan">
      <formula>$M$47</formula>
    </cfRule>
  </conditionalFormatting>
  <conditionalFormatting sqref="M83">
    <cfRule type="cellIs" dxfId="5" priority="28" operator="lessThan">
      <formula>$M$82</formula>
    </cfRule>
  </conditionalFormatting>
  <conditionalFormatting sqref="M118">
    <cfRule type="cellIs" dxfId="4" priority="11" operator="lessThan">
      <formula>$M$82</formula>
    </cfRule>
  </conditionalFormatting>
  <conditionalFormatting sqref="N48">
    <cfRule type="cellIs" dxfId="3" priority="36" operator="lessThan">
      <formula>$N$47</formula>
    </cfRule>
  </conditionalFormatting>
  <conditionalFormatting sqref="N83">
    <cfRule type="cellIs" dxfId="2" priority="27" operator="lessThan">
      <formula>$N$82</formula>
    </cfRule>
  </conditionalFormatting>
  <conditionalFormatting sqref="N118">
    <cfRule type="cellIs" dxfId="1" priority="10" operator="lessThan">
      <formula>$N$82</formula>
    </cfRule>
  </conditionalFormatting>
  <conditionalFormatting sqref="S151">
    <cfRule type="cellIs" dxfId="0" priority="2" operator="lessThan">
      <formula>$N$82</formula>
    </cfRule>
  </conditionalFormatting>
  <pageMargins left="0.25" right="0.25" top="0.75" bottom="0.75" header="0.3" footer="0.3"/>
  <pageSetup paperSize="9" scale="21" orientation="landscape" horizontalDpi="300" verticalDpi="300" r:id="rId1"/>
  <drawing r:id="rId2"/>
  <legacyDrawing r:id="rId3"/>
  <tableParts count="6"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Prévisions Dépenses-Décaiss</vt:lpstr>
      <vt:lpstr>Prévisions Entrées-Encaiss</vt:lpstr>
      <vt:lpstr>Flux de trésorerie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Chakib Baghali</dc:creator>
  <cp:lastModifiedBy>rabah crb</cp:lastModifiedBy>
  <dcterms:created xsi:type="dcterms:W3CDTF">2025-11-09T09:44:49Z</dcterms:created>
  <dcterms:modified xsi:type="dcterms:W3CDTF">2026-05-06T10:08:10Z</dcterms:modified>
</cp:coreProperties>
</file>